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lces\Downloads\"/>
    </mc:Choice>
  </mc:AlternateContent>
  <xr:revisionPtr revIDLastSave="0" documentId="13_ncr:1_{7264798D-895F-4551-A087-F0B323C129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aboradores" sheetId="1" r:id="rId1"/>
    <sheet name="puestos" sheetId="2" r:id="rId2"/>
  </sheets>
  <definedNames>
    <definedName name="_xlnm._FilterDatabase" localSheetId="0" hidden="1">Colaboradores!$A$1:$K$322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2" i="1"/>
  <c r="C324" i="2"/>
  <c r="C323" i="2"/>
  <c r="C322" i="2"/>
  <c r="C321" i="2"/>
  <c r="C3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2" i="2"/>
</calcChain>
</file>

<file path=xl/sharedStrings.xml><?xml version="1.0" encoding="utf-8"?>
<sst xmlns="http://schemas.openxmlformats.org/spreadsheetml/2006/main" count="2936" uniqueCount="1455">
  <si>
    <t>Codigo</t>
  </si>
  <si>
    <t>Nombre</t>
  </si>
  <si>
    <t>Correo</t>
  </si>
  <si>
    <t>CURP</t>
  </si>
  <si>
    <t>JefeCodigo</t>
  </si>
  <si>
    <t>Area</t>
  </si>
  <si>
    <t>Departamento</t>
  </si>
  <si>
    <t>Categoria</t>
  </si>
  <si>
    <t>DiasAsignados</t>
  </si>
  <si>
    <t>FechaIngreso</t>
  </si>
  <si>
    <t>EsRRHH</t>
  </si>
  <si>
    <t/>
  </si>
  <si>
    <t>ADMINISTRATIVO</t>
  </si>
  <si>
    <t>FERNANDO MEDINA CRUZ</t>
  </si>
  <si>
    <t>CONCEPCION CERON RAMIREZ</t>
  </si>
  <si>
    <t>ANTONIA RUFINA COTLAME APALE</t>
  </si>
  <si>
    <t>MARICRUZ SANCHEZ ILLESCAS</t>
  </si>
  <si>
    <t>GABRIEL URIBE ARELLANO</t>
  </si>
  <si>
    <t>SARA DIAZ BAYONA</t>
  </si>
  <si>
    <t>MARGARITA ALAMILLA LOPEZ</t>
  </si>
  <si>
    <t>MAIRA ALEJANDRA PAT HUCHIN</t>
  </si>
  <si>
    <t>ANA LILIA MENDOZA TORRES</t>
  </si>
  <si>
    <t>MANUEL ULISES MUÑOZ CITUK</t>
  </si>
  <si>
    <t>CAROLINA DELGADO YAÑEZ</t>
  </si>
  <si>
    <t>LISVETHE VERONICA RUIZ CRUZ</t>
  </si>
  <si>
    <t>OLIVER VARGAS GONZALEZ</t>
  </si>
  <si>
    <t>LIZBETH RODRIGUEZ RODRIGUEZ</t>
  </si>
  <si>
    <t>JOSE LUIS MAYA TORALES</t>
  </si>
  <si>
    <t>MAGALI MORALES SANTIAGO</t>
  </si>
  <si>
    <t>MARIA DE JESUS SERAFIN GONZALEZ</t>
  </si>
  <si>
    <t>MARIA GUADALUPE BIAIS RODRIGUEZ</t>
  </si>
  <si>
    <t>MAVEL PEREZ VELAZQUEZ</t>
  </si>
  <si>
    <t>SANDRA PATRICIA PALMA SERRATO</t>
  </si>
  <si>
    <t>CESAR PACHECO MARTINEZ</t>
  </si>
  <si>
    <t>ROSARIO DE FATIMA ARGUMEDO SERRANO</t>
  </si>
  <si>
    <t>EFRAIN LOPEZ BRITO</t>
  </si>
  <si>
    <t>LUIS ANTONIO SANTOS HERNANDEZ</t>
  </si>
  <si>
    <t>JAQUELIN SANCHEZ CASTILLO</t>
  </si>
  <si>
    <t>LEOBARDO RANGEL CABRERA</t>
  </si>
  <si>
    <t>ADA VICTORIA GARCIA BAUTISTA</t>
  </si>
  <si>
    <t>JACQUELINE PAJARO GONZALEZ</t>
  </si>
  <si>
    <t>CAROLINA PARRA MARTINEZ</t>
  </si>
  <si>
    <t>FATIMA ALEJANDRA CORONEL RODRIGUEZ</t>
  </si>
  <si>
    <t>JOSEFINA HERNANDEZ ROJAS</t>
  </si>
  <si>
    <t>JUAN MANUEL PALACIOS MENDEZ</t>
  </si>
  <si>
    <t>MARIA CONCEPCION GALAN ZAMUDIO</t>
  </si>
  <si>
    <t>MARCELA ROSAS PULIDO</t>
  </si>
  <si>
    <t>CATHY CECILIA GARCIA JUAREZ</t>
  </si>
  <si>
    <t>CLAUDIA LARA RIVERA</t>
  </si>
  <si>
    <t>FRANCISCO ADRIEL TOVAR BALDERRAMA</t>
  </si>
  <si>
    <t>CLAUDIA GUADALUPE FELIX RODRIGUEZ</t>
  </si>
  <si>
    <t>MIGUEL ANGEL GARCIA REYES</t>
  </si>
  <si>
    <t>DAVID RODRIGUEZ CAMARGO</t>
  </si>
  <si>
    <t>NORMA ANAHI CRUZ PEREZ</t>
  </si>
  <si>
    <t>NANCY LIRIO LOERA DAVILA</t>
  </si>
  <si>
    <t>SONIA ZERTUCHE RUIZ</t>
  </si>
  <si>
    <t>BLANCA ESTHELA GARCIA ESQUIVEL</t>
  </si>
  <si>
    <t>MARIBEL CRUZ URBINA</t>
  </si>
  <si>
    <t>CAROLINA TRINIDAD RODRIGUEZ</t>
  </si>
  <si>
    <t>OSCAR HERNANDEZ LOPEZ</t>
  </si>
  <si>
    <t>DIANA KAREN GALLEGOS VARGAS</t>
  </si>
  <si>
    <t>OLAYA PRIMAVERA CALVA RODRIGUEZ</t>
  </si>
  <si>
    <t>EDGAR ALVAREZ RIOS</t>
  </si>
  <si>
    <t>EUNICE SANCHEZ CORDOVA</t>
  </si>
  <si>
    <t>CECILIA PATRICIA SANCHEZ CASTRO</t>
  </si>
  <si>
    <t>ANA ADILCIA KONSTADUDAKIS HERNANDEZ</t>
  </si>
  <si>
    <t>PILAR MORALES QUEZADA</t>
  </si>
  <si>
    <t>CARLOS ALEJANDRO KU ESTRELLA</t>
  </si>
  <si>
    <t>MARIANA LORANCA AQUINO</t>
  </si>
  <si>
    <t>OSVALDO FERNANDO CARRILLO PULIDO</t>
  </si>
  <si>
    <t>VERONICA AVILA PAEZ</t>
  </si>
  <si>
    <t>RAFAEL SANCHEZ MONTOYA</t>
  </si>
  <si>
    <t>SANDRA OLVERA LANDEROS</t>
  </si>
  <si>
    <t>JESUS ALBERTO RIVERA MARTINEZ</t>
  </si>
  <si>
    <t>LUIS MIGUEL CASADOS HERNANDEZ</t>
  </si>
  <si>
    <t>SAMUEL OSORIO ROMERO</t>
  </si>
  <si>
    <t>MA SARITA BELLO DIAZ</t>
  </si>
  <si>
    <t>RURIK CASTILLO RAMIREZ</t>
  </si>
  <si>
    <t>VERONICA BAUTISTA ANGUIANO</t>
  </si>
  <si>
    <t>BRENDA JOVANA NUÑEZ NERI</t>
  </si>
  <si>
    <t>SONIA OÑATE PEÑALOZA</t>
  </si>
  <si>
    <t>CUAUHTEMOC CALZADA PEREZ</t>
  </si>
  <si>
    <t>ESTEFANIA SANDRE MERINO</t>
  </si>
  <si>
    <t>JESSICA YOZANDY VAZQUEZ RANGEL</t>
  </si>
  <si>
    <t>JOSE CARLOS SOTO VARGAS</t>
  </si>
  <si>
    <t>ALEJANDRO HERRERA CRUZ</t>
  </si>
  <si>
    <t>MAURICIO EDUARDO VALENZUELA LOPEZ</t>
  </si>
  <si>
    <t>MARIA ISABEL DEL MONTE CRUZ</t>
  </si>
  <si>
    <t>JOAQUIN CURIEL SANCHEZ</t>
  </si>
  <si>
    <t>MA DE LA LUZ RODRIGUEZ ORTIZ</t>
  </si>
  <si>
    <t>ANA MARIA IBARRA LOPEZ</t>
  </si>
  <si>
    <t>MARIO ALBERTO CERON DURAN</t>
  </si>
  <si>
    <t>EYBER ALEJANDRO LOPEZ GARCIA</t>
  </si>
  <si>
    <t>RICARDO EMANUEL GOMEZ REYES</t>
  </si>
  <si>
    <t>RICARDO JAVIER PECH PANTI</t>
  </si>
  <si>
    <t>NAYELI DOMINGUEZ SANCHEZ</t>
  </si>
  <si>
    <t>JOSE TORRES SALINAS</t>
  </si>
  <si>
    <t>CLAUDIA MARGARITA AMAYA PROA</t>
  </si>
  <si>
    <t>MARIA DEL CARMEN ZUÑIGA VARGAS</t>
  </si>
  <si>
    <t>DORA ELIZABETH LUNA CERVANTES</t>
  </si>
  <si>
    <t>MARIA ESTHELA ALEJANDRO LEONARDO</t>
  </si>
  <si>
    <t>CELIA RAMIREZ CAPILLA</t>
  </si>
  <si>
    <t>PAULA LOPEZ HIDROGO</t>
  </si>
  <si>
    <t>ANA ESTEFANIA GAYTAN LARA</t>
  </si>
  <si>
    <t>DANIELA CAROLINA GARZA BARRON</t>
  </si>
  <si>
    <t>VERONICA VEYNA TREJO</t>
  </si>
  <si>
    <t>SILVIA ISABEL MALPICA ESPINOZA</t>
  </si>
  <si>
    <t>ELVIRA VAZQUEZ LISCANO</t>
  </si>
  <si>
    <t>SHUNASHI BELEN NORIEGA ESPINOSA</t>
  </si>
  <si>
    <t>RAMON ANDRES MARTINEZ RAMIREZ</t>
  </si>
  <si>
    <t>BARBARA ISABEL ALCAZAR BALVANERA</t>
  </si>
  <si>
    <t>ANTONIO SEBASTIAN RODRIGUEZ MELGOZA</t>
  </si>
  <si>
    <t>NICANOR DURAN RODRIGUEZ</t>
  </si>
  <si>
    <t>OSCAR OMAR ORTIZ ZAMARRIPA</t>
  </si>
  <si>
    <t>EDUARDO DANIEL ORTIZ GALLEGOS</t>
  </si>
  <si>
    <t>LIZETT CITLALI PEREZ MAYORGA</t>
  </si>
  <si>
    <t>FABIOLA CELESTE NOLASCO ALFARO</t>
  </si>
  <si>
    <t>NANCY JANET GOMEZ RUIZ</t>
  </si>
  <si>
    <t>MANUEL JAVIER VILLEDA MORENO</t>
  </si>
  <si>
    <t>JOSE FELIX FLORES ROJAS</t>
  </si>
  <si>
    <t>ELIA CRESCENCIO ESQUIVEL</t>
  </si>
  <si>
    <t>JOSE ANTONIO MARTINEZ MARTINEZ</t>
  </si>
  <si>
    <t>EDUARDO CAMACHO MEDINA</t>
  </si>
  <si>
    <t>ADRIANA GARCIA PARRA</t>
  </si>
  <si>
    <t>NEIDY MARTINEZ MARTINEZ</t>
  </si>
  <si>
    <t>ANAYELI GARCIA MINGOLE</t>
  </si>
  <si>
    <t>ALMA DELIA HERRERA VAZQUEZ</t>
  </si>
  <si>
    <t>CARMEN EDITH JIMENEZ DEL RAZO</t>
  </si>
  <si>
    <t>CARLOS CALIXTRO HERNANDEZ</t>
  </si>
  <si>
    <t>CINTHIA PAOLA NEGRETE CHAVEZ</t>
  </si>
  <si>
    <t>ALEJANDRO MEDINA ORTEGA</t>
  </si>
  <si>
    <t>ESTEPHANY COLIN MAYEN</t>
  </si>
  <si>
    <t>JOSE GERARDO SERVIN FLORES</t>
  </si>
  <si>
    <t>JORGE ANTONIO JIMENEZ UGALDE</t>
  </si>
  <si>
    <t>CARLOS MONREAL MORAN</t>
  </si>
  <si>
    <t>ALMA RANGEL AYALA</t>
  </si>
  <si>
    <t>GUSTAVO FITZ BLAS</t>
  </si>
  <si>
    <t>OSCAR RAMON MENDOZA CAMACHO</t>
  </si>
  <si>
    <t>MARCO ANTONIO RUIZ MORALES</t>
  </si>
  <si>
    <t>ANDRES PEREZ ABAD</t>
  </si>
  <si>
    <t>DANIEL MACIAS PREZA</t>
  </si>
  <si>
    <t>DIEGO ARMANDO SANCHEZ OJEDA</t>
  </si>
  <si>
    <t>JAZMIN VAZQUEZ CRUZ</t>
  </si>
  <si>
    <t>IVONNE BADILLO TORRES</t>
  </si>
  <si>
    <t>VICTOR HUGO LOPEZ HERNANDEZ</t>
  </si>
  <si>
    <t>LUIS FELIPE ROMAN NONOAL</t>
  </si>
  <si>
    <t>ALEJANDRA BERENICE DAVID CAMACHO</t>
  </si>
  <si>
    <t>MAYRA SOFIA BARON ROJAS</t>
  </si>
  <si>
    <t>JOAQUIN RODRIGUEZ CORONA</t>
  </si>
  <si>
    <t>FERNANDO REYES SANCHEZ</t>
  </si>
  <si>
    <t>MARCO ANTONIO CADENAS HERNANDEZ</t>
  </si>
  <si>
    <t>NANCY ESCALONA MEXICA</t>
  </si>
  <si>
    <t>NATALIA SOFIA MARTINEZ HERNANDEZ</t>
  </si>
  <si>
    <t>DIEGO BARRIENTOS RIVERA</t>
  </si>
  <si>
    <t>CLAUDIA OLIVIA RODRIGUEZ LOPEZ</t>
  </si>
  <si>
    <t>RODRIGO EMMANUEL CALIXTRO MORENO</t>
  </si>
  <si>
    <t>MICHAEL KARINA CARRETERO LOPEZ</t>
  </si>
  <si>
    <t>BRENDA ROJAS MONROY</t>
  </si>
  <si>
    <t>ERICK FABIAN CAÑAS GONZALEZ</t>
  </si>
  <si>
    <t>AUGUSTO ALONSO GUTIERREZ VITE</t>
  </si>
  <si>
    <t>GRECIA VEGA HERNANDEZ</t>
  </si>
  <si>
    <t>CECILIA GOMEZ RANGEL</t>
  </si>
  <si>
    <t>ARIANA GUTIERREZ MORALES</t>
  </si>
  <si>
    <t>ELIZABETH LOPEZ PALLARES</t>
  </si>
  <si>
    <t>BENJAMIN RODRIGUEZ RANGEL</t>
  </si>
  <si>
    <t>ARTURO SILVA SANTIAGO</t>
  </si>
  <si>
    <t>JESUS MICHELL GARCIA HERNANDEZ</t>
  </si>
  <si>
    <t>FELIPE CORTES CAZAREZ</t>
  </si>
  <si>
    <t>JONATHAN DAVID HERNANDEZ NEGRETE</t>
  </si>
  <si>
    <t>CHRISTIAN MONROY ZAMBRANO</t>
  </si>
  <si>
    <t>ENRIQUE BENITEZ GUERRERO</t>
  </si>
  <si>
    <t>GABRIEL RAMIREZ AMADOR</t>
  </si>
  <si>
    <t>LILIANA MUÑOZ VAZQUEZ</t>
  </si>
  <si>
    <t>CARLOS ADOLFO CRUZ MARTINEZ</t>
  </si>
  <si>
    <t>DAVID ARTURO DIAZ RAMIREZ</t>
  </si>
  <si>
    <t>MAURICIO AUSTRIA LOPEZ</t>
  </si>
  <si>
    <t>GERARDO EMMANUEL SUAREZ PONCE</t>
  </si>
  <si>
    <t>CRISTINA MAGALI CASTRO MONTOYA</t>
  </si>
  <si>
    <t>ERIKA GARCIA ROMAN</t>
  </si>
  <si>
    <t>SARA MONSERRAT JULIA ZALDIVAR CANOVAS</t>
  </si>
  <si>
    <t>ALFREDO EDUARDO MEJIA RODRIGUEZ</t>
  </si>
  <si>
    <t>NIDIA CASTAÑEDA GALVAN</t>
  </si>
  <si>
    <t>AGUSTIN HERNANDEZ NAPOLES</t>
  </si>
  <si>
    <t>JHOVANY VALLEJAN SOLIS</t>
  </si>
  <si>
    <t>DAFNE YUNNUEN TINOCO HERNANDEZ</t>
  </si>
  <si>
    <t>ANGEL TERAN FRIAS</t>
  </si>
  <si>
    <t>LUIS EUGENIO GALLEGO SOTO</t>
  </si>
  <si>
    <t>EDUARDO GONZALEZ BARCENAS</t>
  </si>
  <si>
    <t>DIEGO ARMANDO AVILES ESTRELLA</t>
  </si>
  <si>
    <t>ARMANDO RODRIGUEZ NAVARRETE</t>
  </si>
  <si>
    <t>LAURA ELENA DE LA ROSA SOTO</t>
  </si>
  <si>
    <t>RUTH ESMERALDA FERNANDEZ VERGARA</t>
  </si>
  <si>
    <t>ANA MARIA DEL CARMEN VERTIZ ESTEVEZ</t>
  </si>
  <si>
    <t>JORGE RIVERA AYALA</t>
  </si>
  <si>
    <t>JUANA AIDE LOPEZ GARCIA</t>
  </si>
  <si>
    <t>JUAN FERNANDO HERNANDEZ LOPEZ</t>
  </si>
  <si>
    <t>LUIS ALBERTO MONTIEL MANSO</t>
  </si>
  <si>
    <t>JESUS DAVID PEREZ GARCIA</t>
  </si>
  <si>
    <t>MARIANA MINUET HERNANDEZ PINEDA</t>
  </si>
  <si>
    <t>CARLOS ALBERTO MARTINEZ ZAVALETA</t>
  </si>
  <si>
    <t>FERNANDA BETZABE MENDEZ RODRIGUEZ</t>
  </si>
  <si>
    <t>CARLOS ARTURO RODRIGUEZ MARCIA</t>
  </si>
  <si>
    <t>CLAUDIA ELIZABETH PALMIERI CASIANO</t>
  </si>
  <si>
    <t>ISRAEL PALACIOS MENDEZ</t>
  </si>
  <si>
    <t>DULCE ANGELICA SANCHEZ MARTINEZ</t>
  </si>
  <si>
    <t>DAVID REYES HERNANDEZ</t>
  </si>
  <si>
    <t>OSCAR ALEJANDRO  MALDONADO PEREZ</t>
  </si>
  <si>
    <t>ALEXANDRE  NAVARRETE GONZALEZ</t>
  </si>
  <si>
    <t>SEBASTIAN RICOY CARRASCO</t>
  </si>
  <si>
    <t>MARCELA CHACON LOPEZ</t>
  </si>
  <si>
    <t>ABRAHAM ISAIAS PADRON CASTRO</t>
  </si>
  <si>
    <t>MA GUADALUPE CORTEZ GONZALEZ</t>
  </si>
  <si>
    <t>RICARDO MUÑOZ TAPIA</t>
  </si>
  <si>
    <t>IXCHEL MAGALI PEREZ GONZALEZ</t>
  </si>
  <si>
    <t>SANDRA GONZALEZ HERNANDEZ</t>
  </si>
  <si>
    <t>LUZ MARIA RODRIGUEZ GARRIDO</t>
  </si>
  <si>
    <t>MIGUEL ANGEL ZAMORA SANTILLO</t>
  </si>
  <si>
    <t>MA. TERESA MUÑOZ PALESTINA</t>
  </si>
  <si>
    <t>MARIA LORENA LUGO AGUILAR</t>
  </si>
  <si>
    <t>ERICK GONZALEZ VAZQUEZ</t>
  </si>
  <si>
    <t>ARMIDA TORRES CERVANTES</t>
  </si>
  <si>
    <t>VALERIA HUERTA ORTEGA</t>
  </si>
  <si>
    <t>OFELIA CARMONA DEL RAZO</t>
  </si>
  <si>
    <t>ELENA VALDERRABANO CUESTA</t>
  </si>
  <si>
    <t>ALICIA GOMEZ CASTILLO</t>
  </si>
  <si>
    <t>YOLANDA MOTA MENDEZ</t>
  </si>
  <si>
    <t>JESSICA GUADALUPE LOPEZ HERNANDEZ</t>
  </si>
  <si>
    <t>GUADALUPE RAMIREZ VALENCIA</t>
  </si>
  <si>
    <t>MARIA CANDELARIA GONZALEZ LOPEZ</t>
  </si>
  <si>
    <t>KARINA HERNANDEZ HERNANDEZ</t>
  </si>
  <si>
    <t>MARIBEL CABRERA VICENTE</t>
  </si>
  <si>
    <t>MARIA AUCENSIA LETICIA RODRIGUEZ GARCIA</t>
  </si>
  <si>
    <t>PEDRO VAZQUEZ DURAN</t>
  </si>
  <si>
    <t>MARIA GUADALUPE RODRIGUEZ SANCHEZ</t>
  </si>
  <si>
    <t>MIGUEL GONZALEZ FLORES</t>
  </si>
  <si>
    <t>DIANA JUDITH JIMENEZ ZAMORA</t>
  </si>
  <si>
    <t>ANGELES YAMILE MARTINEZ GARCIA</t>
  </si>
  <si>
    <t>RAFAEL HERNANDEZ AGUILAR</t>
  </si>
  <si>
    <t>NORBERTA LOPEZ HERNANDEZ</t>
  </si>
  <si>
    <t>JOSE JAVIER VAZQUEZ RAMIREZ</t>
  </si>
  <si>
    <t>GUILLERMINA GUTIERREZ GARCIA</t>
  </si>
  <si>
    <t>PETRA SANCHEZ HUERTA</t>
  </si>
  <si>
    <t>FLORICEL LUNA GARCIA</t>
  </si>
  <si>
    <t>JUAN LECUONA MEDINA</t>
  </si>
  <si>
    <t>NOEL BONILLA OLIVARES</t>
  </si>
  <si>
    <t>JUAN CARLOS SANCHEZ FLORES</t>
  </si>
  <si>
    <t>MARIA ISABEL MUÑOZ SALINAS</t>
  </si>
  <si>
    <t>MARIA RAQUEL SANCHEZ RODRIGUEZ</t>
  </si>
  <si>
    <t>NORMA JESSENIA RODRIGUEZ GARRIDO</t>
  </si>
  <si>
    <t>JOSE MANUEL ISLAS NIETO</t>
  </si>
  <si>
    <t>MARIBEL HERNANDEZ PEREZ</t>
  </si>
  <si>
    <t>ALMA DELIA PADILLA ROLDAN</t>
  </si>
  <si>
    <t>LUIS CARLOS MEJIA CARRASCO</t>
  </si>
  <si>
    <t>ROBERTO AGUILAR HERNANDEZ</t>
  </si>
  <si>
    <t>RODOLFO AZAEL ROJAS GARCIA</t>
  </si>
  <si>
    <t>ALEXIS HUERTA ROJO</t>
  </si>
  <si>
    <t>MONSERRAT GONZALEZ ZAMORA</t>
  </si>
  <si>
    <t>SARA MARIELA GARCIA FLORES</t>
  </si>
  <si>
    <t>MARIA WENDI HERNANDEZ GARCIA</t>
  </si>
  <si>
    <t>JORGE JIMENEZ MONTIEL</t>
  </si>
  <si>
    <t>MA. GUADALUPE MONTES FLORES</t>
  </si>
  <si>
    <t>JOSE CARLOS TAPIA HERNANDEZ</t>
  </si>
  <si>
    <t>EVELYN PAULINA VAZQUEZ DAVILA</t>
  </si>
  <si>
    <t>ODEMARIS LETICIA CUAMATZI RODRIGUEZ</t>
  </si>
  <si>
    <t>DIONICIO HUERTA MIRANDA</t>
  </si>
  <si>
    <t>FERNANDO SEGURA MANOATL</t>
  </si>
  <si>
    <t>ANA KAREN RAMIREZ ALVARADO</t>
  </si>
  <si>
    <t>ALEJANDRO FLORES ORTEGA</t>
  </si>
  <si>
    <t>JESUS MANUEL CRUZ GALAVIZ</t>
  </si>
  <si>
    <t>VANESA GONZALEZ PIEDRAS</t>
  </si>
  <si>
    <t>MIGUEL ANGEL HERNANDEZ HERNANDEZ</t>
  </si>
  <si>
    <t>TERESA RAMIREZ ROMANO</t>
  </si>
  <si>
    <t>ANGELICA LIMA GARCIA</t>
  </si>
  <si>
    <t>CARLOS EDUARDO AGUILAR HERNANDEZ</t>
  </si>
  <si>
    <t>MARISOL SALINAS GARCIA</t>
  </si>
  <si>
    <t>NATZELANE CARMONA LUNA</t>
  </si>
  <si>
    <t>ITZEL CARBAJAL HERNANDEZ</t>
  </si>
  <si>
    <t>SOFIA MONTIEL HERNANDEZ</t>
  </si>
  <si>
    <t>VERONICA LOPEZ DURAN</t>
  </si>
  <si>
    <t>EVELIN ORTEGA RODRIGUEZ</t>
  </si>
  <si>
    <t>SANDRA CERVANTES HERNANDEZ</t>
  </si>
  <si>
    <t>KELLI JOSELIN PEREZ HERNANDEZ</t>
  </si>
  <si>
    <t>OSEI OMAR FERNANDEZ MAGAÑA</t>
  </si>
  <si>
    <t>BRAULIO LEMUS JAVIER</t>
  </si>
  <si>
    <t>ADOLFO SANCHEZ LOBATO</t>
  </si>
  <si>
    <t>JOSE MANUEL GARCIA FLORES</t>
  </si>
  <si>
    <t>ERICK BARUCH SANCHEZ GARCIA</t>
  </si>
  <si>
    <t>DALIA XOCHITL ROSALES HERNANDEZ</t>
  </si>
  <si>
    <t>DANIEL BLAS LOPEZ PEREZ</t>
  </si>
  <si>
    <t>EDUARDO DANIEL PONCE NAVARRO</t>
  </si>
  <si>
    <t>MANUEL SOSA RIVERA</t>
  </si>
  <si>
    <t>ALBERTO CARMONA GARCIA</t>
  </si>
  <si>
    <t>CARLOS GUILLERMO CARBAJAL JUAREZ</t>
  </si>
  <si>
    <t>SOFIA GUADALUPE VEGA MUÑOZ</t>
  </si>
  <si>
    <t>BRIAN ALEJANDRO HERNANDEZ RAMIREZ</t>
  </si>
  <si>
    <t>JOSE ANTONIO CARCAÑO GARCIA</t>
  </si>
  <si>
    <t>OSCAR ALI LOPEZ CASTAÑEDA</t>
  </si>
  <si>
    <t>LAURA GONZALEZ FLORES</t>
  </si>
  <si>
    <t>VIRIDIANA VAZQUEZ HERNANDEZ</t>
  </si>
  <si>
    <t>ANAYELI TONIX SASTRE</t>
  </si>
  <si>
    <t>YOKO GORETI RAMIREZ RODRIGUEZ</t>
  </si>
  <si>
    <t>ANGEL OMAR GONZALEZ GUARNEROS</t>
  </si>
  <si>
    <t>ISRAEL VAZQUEZ CABRERA</t>
  </si>
  <si>
    <t>ROBERTO LEON LOPEZ</t>
  </si>
  <si>
    <t>LAURA MONSERRAT ROMANO ORTEGA</t>
  </si>
  <si>
    <t>EDGAR LEUCONA GONZALEZ</t>
  </si>
  <si>
    <t>MARIA FERNANDA LIMA NIEVES</t>
  </si>
  <si>
    <t>LILIANA RIVERA ANDRIANO</t>
  </si>
  <si>
    <t>JORGE ARTURO HUERTA MARTINEZ</t>
  </si>
  <si>
    <t>ALEXANDER MARTINEZ REYES</t>
  </si>
  <si>
    <t>OSCAR IVAN ZAMORA MOLINA</t>
  </si>
  <si>
    <t>ROSA CRYSTAL JIMENEZ VAZQUEZ</t>
  </si>
  <si>
    <t>JUDITH AURORA DEGANTE CARDENAS</t>
  </si>
  <si>
    <t>AXCELL VARGAS VARGAS</t>
  </si>
  <si>
    <t>JOSE DANIEL QUINTERO MUÑOZ</t>
  </si>
  <si>
    <t>EMMANUEL ORTEGA SAAVEDRA</t>
  </si>
  <si>
    <t>DERECK JOSAHAN AVALOS RAMIREZ</t>
  </si>
  <si>
    <t>JESUS GONZALEZ RIVERA</t>
  </si>
  <si>
    <t>RICARDO LECUONA GOMEZ</t>
  </si>
  <si>
    <t>ELOY SERRANO ROLDAN</t>
  </si>
  <si>
    <t>RAMIRO DANIEL LAUREANO MUÑOZ</t>
  </si>
  <si>
    <t>CARLOS RODOLFO HERNANDEZ DAVILA</t>
  </si>
  <si>
    <t>LOURDES MORALES CENTENO</t>
  </si>
  <si>
    <t>CRUZ ROCIO CASTILLO CHAVEZ</t>
  </si>
  <si>
    <t>CITLALLI BADILLO GONZALEZ</t>
  </si>
  <si>
    <t>GUADALUPE BONILLA LOPEZ</t>
  </si>
  <si>
    <t>HECTOR JESUS ESPINOZA RODRIGUEZ</t>
  </si>
  <si>
    <t>METZTLI AHTZIRY SALDAÑA VAZQUEZ</t>
  </si>
  <si>
    <t>JAVIER ROSALES RODRIGUEZ</t>
  </si>
  <si>
    <t>CRUZ MUÑOZ MARTINEZ</t>
  </si>
  <si>
    <t>ALEX DANIEL GUZMAN VAZQUEZ</t>
  </si>
  <si>
    <t>DEBORA OLMOS LOPEZ</t>
  </si>
  <si>
    <t>EDUARDO DANIEL QUEZADA MENDEZ</t>
  </si>
  <si>
    <t>ALBIN SAMUEL GOMEZ PINZON</t>
  </si>
  <si>
    <t>MECF790309JK1</t>
  </si>
  <si>
    <t>CERC781208Q44</t>
  </si>
  <si>
    <t>COAA8712283V7</t>
  </si>
  <si>
    <t>SAIM710809AL2</t>
  </si>
  <si>
    <t>UIAG651104AL5</t>
  </si>
  <si>
    <t>DIBS8405159D4</t>
  </si>
  <si>
    <t>AALM740312RG3</t>
  </si>
  <si>
    <t>PAHM890514LMA</t>
  </si>
  <si>
    <t>META850320239</t>
  </si>
  <si>
    <t>MUCM7104188Z5</t>
  </si>
  <si>
    <t>DEYC921224CX1</t>
  </si>
  <si>
    <t>RUCL8601281I2</t>
  </si>
  <si>
    <t>VAGO740922D92</t>
  </si>
  <si>
    <t>RORL890805IC2</t>
  </si>
  <si>
    <t>MATL800620844</t>
  </si>
  <si>
    <t>MOSM7909045J3</t>
  </si>
  <si>
    <t>SEGJ710205UU8</t>
  </si>
  <si>
    <t>BIRG670323HF9</t>
  </si>
  <si>
    <t>PEVM770215C65</t>
  </si>
  <si>
    <t>PASS8411258P8</t>
  </si>
  <si>
    <t>PAMC831114J3A</t>
  </si>
  <si>
    <t>AUSR841016P52</t>
  </si>
  <si>
    <t>LOBE951029K85</t>
  </si>
  <si>
    <t>SAHL9109077E8</t>
  </si>
  <si>
    <t>SACJ940217QB9</t>
  </si>
  <si>
    <t>RACL7801189HA</t>
  </si>
  <si>
    <t>GABA930504UJ5</t>
  </si>
  <si>
    <t>PAGJ850828K89</t>
  </si>
  <si>
    <t>PAMC890709GY6</t>
  </si>
  <si>
    <t>CORF870513U49</t>
  </si>
  <si>
    <t>HERJ7506173WA</t>
  </si>
  <si>
    <t>PAMJ671111M60</t>
  </si>
  <si>
    <t>GAZC810702L32</t>
  </si>
  <si>
    <t>ROPM871227629</t>
  </si>
  <si>
    <t>GAJC7908103A6</t>
  </si>
  <si>
    <t>LARC840618RT2</t>
  </si>
  <si>
    <t>TOBF9706145E1</t>
  </si>
  <si>
    <t>FERC941219RB8</t>
  </si>
  <si>
    <t>GARM8010081B9</t>
  </si>
  <si>
    <t>ROCD9512308P9</t>
  </si>
  <si>
    <t>CUPN940807C31</t>
  </si>
  <si>
    <t>LODN790912S83</t>
  </si>
  <si>
    <t>ZERS7602269CA</t>
  </si>
  <si>
    <t>GAEB740415A71</t>
  </si>
  <si>
    <t>CUUM890411G22</t>
  </si>
  <si>
    <t>TIRC870625FA5</t>
  </si>
  <si>
    <t>HELO840226UV0</t>
  </si>
  <si>
    <t>GAVD930731GG0</t>
  </si>
  <si>
    <t>CARO671014RB0</t>
  </si>
  <si>
    <t>AARE9011197U8</t>
  </si>
  <si>
    <t>SACE841003L29</t>
  </si>
  <si>
    <t>SACC930825JL3</t>
  </si>
  <si>
    <t>KOHA811017370</t>
  </si>
  <si>
    <t>MOQP850219MB1</t>
  </si>
  <si>
    <t>KUEC911102TZA</t>
  </si>
  <si>
    <t>LOAM970109FP9</t>
  </si>
  <si>
    <t>CAPO860710HW4</t>
  </si>
  <si>
    <t>AIPV900114910</t>
  </si>
  <si>
    <t>SAMR921205JW9</t>
  </si>
  <si>
    <t>OELS720511EX1</t>
  </si>
  <si>
    <t>RIMJ990521FC9</t>
  </si>
  <si>
    <t>CAHL800425MC2</t>
  </si>
  <si>
    <t>OORS6908121R5</t>
  </si>
  <si>
    <t>BEDS850420JL1</t>
  </si>
  <si>
    <t>CARR990320FL1</t>
  </si>
  <si>
    <t>BAAV9004119B2</t>
  </si>
  <si>
    <t>NUNB940815PD7</t>
  </si>
  <si>
    <t>OAPS850526274</t>
  </si>
  <si>
    <t>CAPC781207SP6</t>
  </si>
  <si>
    <t>SAME930716H64</t>
  </si>
  <si>
    <t>VARJ880623R67</t>
  </si>
  <si>
    <t>SOVC800603BFA</t>
  </si>
  <si>
    <t>HECA8207179X1</t>
  </si>
  <si>
    <t>VALM791014UJ6</t>
  </si>
  <si>
    <t>MOCI831014788</t>
  </si>
  <si>
    <t>CUSJ790606QM7</t>
  </si>
  <si>
    <t>ROOL680220FT3</t>
  </si>
  <si>
    <t>IALA671219DVA</t>
  </si>
  <si>
    <t>CEDM870713952</t>
  </si>
  <si>
    <t>LOGE900409IA7</t>
  </si>
  <si>
    <t>GORR940106UK3</t>
  </si>
  <si>
    <t>PEPR780801S20</t>
  </si>
  <si>
    <t>DOSN950719DX2</t>
  </si>
  <si>
    <t>TOSJ730419UP0</t>
  </si>
  <si>
    <t>AAPC7707104Q3</t>
  </si>
  <si>
    <t>ZUVC801020F57</t>
  </si>
  <si>
    <t>LUCD750409RP4</t>
  </si>
  <si>
    <t>AELE830511GR5</t>
  </si>
  <si>
    <t>RACC860509D15</t>
  </si>
  <si>
    <t>LOHP741106J52</t>
  </si>
  <si>
    <t>GALA950619370</t>
  </si>
  <si>
    <t>GABD900922TC1</t>
  </si>
  <si>
    <t>VETV701127L75</t>
  </si>
  <si>
    <t>MAES831104RF0</t>
  </si>
  <si>
    <t>VALE840125F16</t>
  </si>
  <si>
    <t>NOES0111054P7</t>
  </si>
  <si>
    <t>MARR840831ND5</t>
  </si>
  <si>
    <t>AABB740602TX3</t>
  </si>
  <si>
    <t>ROMA940624EA0</t>
  </si>
  <si>
    <t>DURN000725N87</t>
  </si>
  <si>
    <t>OIZO751117BE0</t>
  </si>
  <si>
    <t>OIGE940711142</t>
  </si>
  <si>
    <t>PEML840313FE7</t>
  </si>
  <si>
    <t>NOAF840223QE5</t>
  </si>
  <si>
    <t>GORN8008076X7</t>
  </si>
  <si>
    <t>VIMM691203AW6</t>
  </si>
  <si>
    <t>FORF650530RA3</t>
  </si>
  <si>
    <t>CEEE7905108E7</t>
  </si>
  <si>
    <t>MAMA690525TBA</t>
  </si>
  <si>
    <t>CAME690120RT2</t>
  </si>
  <si>
    <t>GAPA7603051T9</t>
  </si>
  <si>
    <t>MAMN771201UV0</t>
  </si>
  <si>
    <t>GAMA880627D13</t>
  </si>
  <si>
    <t>HEVA891006NJA</t>
  </si>
  <si>
    <t>JIRC921129R29</t>
  </si>
  <si>
    <t>CAHC670821SS2</t>
  </si>
  <si>
    <t>NECC841216H29</t>
  </si>
  <si>
    <t>MEOA881117FB0</t>
  </si>
  <si>
    <t>COME920924JI3</t>
  </si>
  <si>
    <t>SEFG751021NF7</t>
  </si>
  <si>
    <t>JIUJ880317H43</t>
  </si>
  <si>
    <t>MOMC751111B56</t>
  </si>
  <si>
    <t>RAAA730514SL7</t>
  </si>
  <si>
    <t>FIBG870522PB0</t>
  </si>
  <si>
    <t>MECO8912101A7</t>
  </si>
  <si>
    <t>RUMM751230198</t>
  </si>
  <si>
    <t>PEAA891012GJ2</t>
  </si>
  <si>
    <t>MAPD920915PN0</t>
  </si>
  <si>
    <t>SAOD840706NI0</t>
  </si>
  <si>
    <t>VACJ931002HA7</t>
  </si>
  <si>
    <t>BATI930823UTA</t>
  </si>
  <si>
    <t>LOHV861204G12</t>
  </si>
  <si>
    <t>RONL9303013C0</t>
  </si>
  <si>
    <t>DACA900723S81</t>
  </si>
  <si>
    <t>BARM750918IF9</t>
  </si>
  <si>
    <t>ROCJ7105068A0</t>
  </si>
  <si>
    <t>RESF850802T65</t>
  </si>
  <si>
    <t>CAHM010308PZ0</t>
  </si>
  <si>
    <t>EAMN790918SN0</t>
  </si>
  <si>
    <t>MAHN740719D64</t>
  </si>
  <si>
    <t>BARD970115K9A</t>
  </si>
  <si>
    <t>ROLC631123SY2</t>
  </si>
  <si>
    <t>CAMR990929BJ0</t>
  </si>
  <si>
    <t>CALM890730945</t>
  </si>
  <si>
    <t>ROMB810510H30</t>
  </si>
  <si>
    <t>CAGE860501QGA</t>
  </si>
  <si>
    <t>GUVA790416ME6</t>
  </si>
  <si>
    <t>VEHG970303HN4</t>
  </si>
  <si>
    <t>GORC8702018U0</t>
  </si>
  <si>
    <t>GUMA941016KY9</t>
  </si>
  <si>
    <t>LOPE7707077NA</t>
  </si>
  <si>
    <t>RORB001210KI8</t>
  </si>
  <si>
    <t>SISA821002LG0</t>
  </si>
  <si>
    <t>GAHJ840926K6A</t>
  </si>
  <si>
    <t>COCF8507211F7</t>
  </si>
  <si>
    <t>HENJ030614280</t>
  </si>
  <si>
    <t>MOZC0111174F1</t>
  </si>
  <si>
    <t>BEGE790610KZ0</t>
  </si>
  <si>
    <t>RAAG910205QP4</t>
  </si>
  <si>
    <t>MUVL970901AZ1</t>
  </si>
  <si>
    <t>CUMC0310117W6</t>
  </si>
  <si>
    <t>DIRD921006RJ5</t>
  </si>
  <si>
    <t>AULM030802443</t>
  </si>
  <si>
    <t>SUPG900306RR5</t>
  </si>
  <si>
    <t>CAMC850613272</t>
  </si>
  <si>
    <t>GARE731217SS7</t>
  </si>
  <si>
    <t>ZACS920704P19</t>
  </si>
  <si>
    <t>MERA971116E65</t>
  </si>
  <si>
    <t>CAGN67110697A</t>
  </si>
  <si>
    <t>HENA900116G58</t>
  </si>
  <si>
    <t>VASJ031209DG4</t>
  </si>
  <si>
    <t>TIHD030226FA9</t>
  </si>
  <si>
    <t>TEFA880901DM0</t>
  </si>
  <si>
    <t>GASL6706234F0</t>
  </si>
  <si>
    <t>GOBE8406164Y3</t>
  </si>
  <si>
    <t>AIED870527BS7</t>
  </si>
  <si>
    <t>RONA691128BY8</t>
  </si>
  <si>
    <t>ROSL750624B30</t>
  </si>
  <si>
    <t>FEVR930627GY6</t>
  </si>
  <si>
    <t>VEEA780713P92</t>
  </si>
  <si>
    <t>RIAJ800128419</t>
  </si>
  <si>
    <t>LOGJ780528421</t>
  </si>
  <si>
    <t>HELJ9603262E9</t>
  </si>
  <si>
    <t>MOML8909266Q0</t>
  </si>
  <si>
    <t>PEGJ771217MC0</t>
  </si>
  <si>
    <t>HEPM9802198D1</t>
  </si>
  <si>
    <t>MAZC950501G24</t>
  </si>
  <si>
    <t>MERF000111245</t>
  </si>
  <si>
    <t>ROMC8901063CA</t>
  </si>
  <si>
    <t>PACC891102</t>
  </si>
  <si>
    <t>PAMI681217J39</t>
  </si>
  <si>
    <t>SAMD981116Q74</t>
  </si>
  <si>
    <t>REHD920809S13</t>
  </si>
  <si>
    <t>MAPO010811KP3</t>
  </si>
  <si>
    <t>NAGA9207036R4</t>
  </si>
  <si>
    <t>RICS990902KMA</t>
  </si>
  <si>
    <t>CALM930222UQ3</t>
  </si>
  <si>
    <t>PACA7802232G2</t>
  </si>
  <si>
    <t>COGG731229Q84</t>
  </si>
  <si>
    <t>MUTR870403AE6</t>
  </si>
  <si>
    <t>PEGI930119BE3</t>
  </si>
  <si>
    <t>GOHS730703M4A</t>
  </si>
  <si>
    <t>ROGL770520LB4</t>
  </si>
  <si>
    <t>ZASM760508E43</t>
  </si>
  <si>
    <t>MUPT781003QG4</t>
  </si>
  <si>
    <t>LUAL760723V82</t>
  </si>
  <si>
    <t>GOVE941126V17</t>
  </si>
  <si>
    <t>TOCA7609299S3</t>
  </si>
  <si>
    <t>HUOV970518S30</t>
  </si>
  <si>
    <t>CARO641120HT2</t>
  </si>
  <si>
    <t>VACE840215CS2</t>
  </si>
  <si>
    <t>GOCA7109225Y0</t>
  </si>
  <si>
    <t>MOMY7812011Q1</t>
  </si>
  <si>
    <t>LOHJ940624CX3</t>
  </si>
  <si>
    <t>RAVG6801229A3</t>
  </si>
  <si>
    <t>GOLC830202BX2</t>
  </si>
  <si>
    <t>HEHK801231QL3</t>
  </si>
  <si>
    <t>CAVM930726BZA</t>
  </si>
  <si>
    <t>ROGA751218DS3</t>
  </si>
  <si>
    <t>VADP700220433</t>
  </si>
  <si>
    <t>ROSG821227SG1</t>
  </si>
  <si>
    <t>GOFM940929DY6</t>
  </si>
  <si>
    <t>JIZD890226DE8</t>
  </si>
  <si>
    <t>MAGA001226U75</t>
  </si>
  <si>
    <t>HEAR7711221E8</t>
  </si>
  <si>
    <t>LOHN780606TZ3</t>
  </si>
  <si>
    <t>VARJ891022E25</t>
  </si>
  <si>
    <t>GUGG700310S27</t>
  </si>
  <si>
    <t>SAHP880802JUA</t>
  </si>
  <si>
    <t>LUGF9510192Y5</t>
  </si>
  <si>
    <t>LEMJ850513BN0</t>
  </si>
  <si>
    <t>BOON971123HP9</t>
  </si>
  <si>
    <t>SAFJ830521UC2</t>
  </si>
  <si>
    <t>MUSI990331NK2</t>
  </si>
  <si>
    <t>SARR830430PE5</t>
  </si>
  <si>
    <t>ROGN830423AI9</t>
  </si>
  <si>
    <t>IANM890317745</t>
  </si>
  <si>
    <t>HEPM750721C93</t>
  </si>
  <si>
    <t>PARA960123221</t>
  </si>
  <si>
    <t>MECL970803RU5</t>
  </si>
  <si>
    <t>AUHR710923U60</t>
  </si>
  <si>
    <t>ROGR8604174K4</t>
  </si>
  <si>
    <t>HURA000619HX2</t>
  </si>
  <si>
    <t>GOZM0212318K1</t>
  </si>
  <si>
    <t>GAFS890912NV6</t>
  </si>
  <si>
    <t>HEGW990621H73</t>
  </si>
  <si>
    <t>JIMJ900227PL9</t>
  </si>
  <si>
    <t>MOFG961211166</t>
  </si>
  <si>
    <t>TAHC010817929</t>
  </si>
  <si>
    <t>VADE890313F96</t>
  </si>
  <si>
    <t>CURO941104F2A</t>
  </si>
  <si>
    <t>HUMD691009BBA</t>
  </si>
  <si>
    <t>SEMF891120G11</t>
  </si>
  <si>
    <t>RAAA030426TL5</t>
  </si>
  <si>
    <t>FOOA890324RF5</t>
  </si>
  <si>
    <t>CUGJ851106991</t>
  </si>
  <si>
    <t>GOPV0309021Q8</t>
  </si>
  <si>
    <t>HEHM970915K9A</t>
  </si>
  <si>
    <t>RART881015455</t>
  </si>
  <si>
    <t>LIGA841001H98</t>
  </si>
  <si>
    <t>AUHC040322EX3</t>
  </si>
  <si>
    <t>SAGM7302127S5</t>
  </si>
  <si>
    <t>CALN040422798</t>
  </si>
  <si>
    <t>CAHI990321TF9</t>
  </si>
  <si>
    <t>MOHS880318345</t>
  </si>
  <si>
    <t>LODV840202QN0</t>
  </si>
  <si>
    <t>OERE8505261M2</t>
  </si>
  <si>
    <t>CEHS810819FF0</t>
  </si>
  <si>
    <t>PEHK0206266K8</t>
  </si>
  <si>
    <t>FEMO840507MI3</t>
  </si>
  <si>
    <t>LEJB8610155I5</t>
  </si>
  <si>
    <t>SALA930909RN2</t>
  </si>
  <si>
    <t>GAFM910514JYA</t>
  </si>
  <si>
    <t>SAGE9312242R9</t>
  </si>
  <si>
    <t>ROHD801031B42</t>
  </si>
  <si>
    <t>LOPD880225MWA</t>
  </si>
  <si>
    <t>PONE881022EQA</t>
  </si>
  <si>
    <t>SORM9912271I9</t>
  </si>
  <si>
    <t>CAGX780408AY3</t>
  </si>
  <si>
    <t>CAJC7407162B4</t>
  </si>
  <si>
    <t>VEMS891215U94</t>
  </si>
  <si>
    <t>HERB040714RX2</t>
  </si>
  <si>
    <t>CAGX810409L14</t>
  </si>
  <si>
    <t>LOCO8704292M7</t>
  </si>
  <si>
    <t>GOFL8110191C7</t>
  </si>
  <si>
    <t>VAHV040920NC0</t>
  </si>
  <si>
    <t>TOSA9304289V4</t>
  </si>
  <si>
    <t>RARY001214NQ4</t>
  </si>
  <si>
    <t>GOGA881001HJ3</t>
  </si>
  <si>
    <t>VACI9705099K4</t>
  </si>
  <si>
    <t>LELR780113LK5</t>
  </si>
  <si>
    <t>ROOL9310198Q6</t>
  </si>
  <si>
    <t>LEGE970121P41</t>
  </si>
  <si>
    <t>LINF020706S22</t>
  </si>
  <si>
    <t>RIAL921108143</t>
  </si>
  <si>
    <t>HUMJ891008THA</t>
  </si>
  <si>
    <t>MARA960723LG9</t>
  </si>
  <si>
    <t>ZAMO0204172J2</t>
  </si>
  <si>
    <t>JIVR990216UR3</t>
  </si>
  <si>
    <t>DECJ860506CA2</t>
  </si>
  <si>
    <t>VAVA970829L56</t>
  </si>
  <si>
    <t>QUMD010315Q21</t>
  </si>
  <si>
    <t>OESE960816GZ9</t>
  </si>
  <si>
    <t>AARD060919EL9</t>
  </si>
  <si>
    <t>GORJ0202219Q4</t>
  </si>
  <si>
    <t>LEGR000207LD8</t>
  </si>
  <si>
    <t>SERE860215GU5</t>
  </si>
  <si>
    <t>LAMR911001Q12</t>
  </si>
  <si>
    <t>HEDC990625D70</t>
  </si>
  <si>
    <t>MOCL830828T9A</t>
  </si>
  <si>
    <t>CACC630503QAA</t>
  </si>
  <si>
    <t>BAGC0704175KA</t>
  </si>
  <si>
    <t>BOLG000313NX6</t>
  </si>
  <si>
    <t>EIRH990805DP0</t>
  </si>
  <si>
    <t>SAVM010515BD8</t>
  </si>
  <si>
    <t>RORJ861214QW5</t>
  </si>
  <si>
    <t>MUMC670503EM7</t>
  </si>
  <si>
    <t>GUVA011003TM6</t>
  </si>
  <si>
    <t>OOLD0105166Z1</t>
  </si>
  <si>
    <t>HUGO CESAR GARCIA PEREZ</t>
  </si>
  <si>
    <t>TANIA CHANTHAL JACINTO TORRES</t>
  </si>
  <si>
    <t>ESAU RAMIREZ CABALLERO</t>
  </si>
  <si>
    <t>COMERCIAL</t>
  </si>
  <si>
    <t>FINANZAS</t>
  </si>
  <si>
    <t>LOGISTICA &amp; OPERACIONES</t>
  </si>
  <si>
    <t>GENTE &amp; GESTION</t>
  </si>
  <si>
    <t>MANUFACTURA</t>
  </si>
  <si>
    <t>REVENUE &amp; BI</t>
  </si>
  <si>
    <t>COMPRAS</t>
  </si>
  <si>
    <t>LEGAL</t>
  </si>
  <si>
    <t>MARKETING</t>
  </si>
  <si>
    <t>DIRECCION</t>
  </si>
  <si>
    <t>VENTAS</t>
  </si>
  <si>
    <t>SERVICIO AL CLIENTE</t>
  </si>
  <si>
    <t>LOGISTICA</t>
  </si>
  <si>
    <t>FOOD SERVICE</t>
  </si>
  <si>
    <t>CUENTAS POR COBRAR</t>
  </si>
  <si>
    <t>GENTE Y GESTION</t>
  </si>
  <si>
    <t>COSTOS</t>
  </si>
  <si>
    <t>SISTEMAS</t>
  </si>
  <si>
    <t>R&amp;D</t>
  </si>
  <si>
    <t>CONTABILIDAD</t>
  </si>
  <si>
    <t>IMPUESTOS</t>
  </si>
  <si>
    <t>CUENTAS POR PAGAR</t>
  </si>
  <si>
    <t>REVENUE</t>
  </si>
  <si>
    <t>ARQUITECTURA</t>
  </si>
  <si>
    <t>GENTE Y GESTIÓN PLANTA</t>
  </si>
  <si>
    <t>ADMINISTRACION PLANTA</t>
  </si>
  <si>
    <t>JURIDICO</t>
  </si>
  <si>
    <t>INTENDENCIA</t>
  </si>
  <si>
    <t>MONITOREO</t>
  </si>
  <si>
    <t>PLANEACION</t>
  </si>
  <si>
    <t>DIRECCIÓN GENERAL</t>
  </si>
  <si>
    <t>CONTROL INTERNO</t>
  </si>
  <si>
    <t>CALIDAD</t>
  </si>
  <si>
    <t>MANTENIMIENTO</t>
  </si>
  <si>
    <t>PRODUCCION</t>
  </si>
  <si>
    <t>ALMACEN PLANTA</t>
  </si>
  <si>
    <t>cceron@cafeportales.com</t>
  </si>
  <si>
    <t>rcotlame@cafeportales.com</t>
  </si>
  <si>
    <t>maricruzs@cafeportales.com</t>
  </si>
  <si>
    <t>guribe@cafeportales.com</t>
  </si>
  <si>
    <t>sdiazb@cafeportales.com</t>
  </si>
  <si>
    <t>mpat@cafeportales.com</t>
  </si>
  <si>
    <t>almendoza@cafeportales.com</t>
  </si>
  <si>
    <t>ovargas@cafeportales.com</t>
  </si>
  <si>
    <t>lrodriguez@cafeportales.com</t>
  </si>
  <si>
    <t>cesarp@cafeportales.com</t>
  </si>
  <si>
    <t>efrainl@cafeportales.com</t>
  </si>
  <si>
    <t>lasantos@cafeportales.com</t>
  </si>
  <si>
    <t>jsanchez@cafeportales.com</t>
  </si>
  <si>
    <t>lrangel@cafeportales.com</t>
  </si>
  <si>
    <t>ftovar@cafeportales.com</t>
  </si>
  <si>
    <t>cfelix@cafeportales.com</t>
  </si>
  <si>
    <t>nacruz@cafeportales.com</t>
  </si>
  <si>
    <t>ctrinidad@cafeportales.com</t>
  </si>
  <si>
    <t>ohernandez@cafeportales.com</t>
  </si>
  <si>
    <t>dgallegos@cafeportales.com</t>
  </si>
  <si>
    <t>pcalva@cafegarcomex.com</t>
  </si>
  <si>
    <t>erios@cafeportales.com</t>
  </si>
  <si>
    <t>pquezada@cafeportales.com</t>
  </si>
  <si>
    <t>mloranca@cafeportales.com</t>
  </si>
  <si>
    <t>vavila@cafeportales.com</t>
  </si>
  <si>
    <t>rmontoya@cafeportales.com</t>
  </si>
  <si>
    <t>solvera@cafeportales.com</t>
  </si>
  <si>
    <t>jrivera@cafeportales.com</t>
  </si>
  <si>
    <t>rurikc@cafeportales.com</t>
  </si>
  <si>
    <t>bnunez@cafeportales.com</t>
  </si>
  <si>
    <t>esandre@cafeportales.com</t>
  </si>
  <si>
    <t>jvazquez@cafeportales.com</t>
  </si>
  <si>
    <t>acruz@cafeportales.com</t>
  </si>
  <si>
    <t>mvalenzuela@cafeportales.com</t>
  </si>
  <si>
    <t>jcuriel@cafeportales.com</t>
  </si>
  <si>
    <t>mceron@cafeportales.com</t>
  </si>
  <si>
    <t>eyberl@cafeportales.com</t>
  </si>
  <si>
    <t>rgomez@cafeportales.com</t>
  </si>
  <si>
    <t>rpech@cafeportales.com</t>
  </si>
  <si>
    <t>ndominguez@cafeportales.com</t>
  </si>
  <si>
    <t>camaya@cafegarcomex.com</t>
  </si>
  <si>
    <t>dluna@cafegarcomex.com</t>
  </si>
  <si>
    <t>paulal@cafegarcomex.com</t>
  </si>
  <si>
    <t>agaytan@cafegarcomex.com</t>
  </si>
  <si>
    <t>dgarza@cafegarcomex.com</t>
  </si>
  <si>
    <t>vveyna@cafeportales.com</t>
  </si>
  <si>
    <t>snoriega@cafeportales.com</t>
  </si>
  <si>
    <t>rmartinez@cafeportales.com</t>
  </si>
  <si>
    <t>amelgoza@cafeportales.com</t>
  </si>
  <si>
    <t>nduran@cafeportales.com</t>
  </si>
  <si>
    <t>ngomez@cafepuntadelcielo.co</t>
  </si>
  <si>
    <t>ecrescencio@cafepuntadelcielo.co</t>
  </si>
  <si>
    <t>jmmartinez@cafepuntadelcielo.co</t>
  </si>
  <si>
    <t>emedina@cafepuntadelcielo.co</t>
  </si>
  <si>
    <t>agparra@cafepuntadelcielo.co</t>
  </si>
  <si>
    <t>neidym@cafepuntadelcielo.co</t>
  </si>
  <si>
    <t>amingole@cafepuntadelcielo.co</t>
  </si>
  <si>
    <t>advazquez@cafepuntadelcielo.co</t>
  </si>
  <si>
    <t>cjrazo@cafepuntadelcielo.co</t>
  </si>
  <si>
    <t>ccalixtro@cafepuntadelcielo.co</t>
  </si>
  <si>
    <t>amortega@cafepuntadelcielo.co</t>
  </si>
  <si>
    <t>ecolin@cafepuntadelcielo.co</t>
  </si>
  <si>
    <t>jajimenez@cafepuntadelcielo.co</t>
  </si>
  <si>
    <t>arangel@cafepuntadelcielo.co</t>
  </si>
  <si>
    <t>gfitz@cafepuntadelcielo.co</t>
  </si>
  <si>
    <t>aabad@cafepuntadelcielo.co</t>
  </si>
  <si>
    <t>dmacias@cafepuntadelcielo.co</t>
  </si>
  <si>
    <t>dasanchez@cafepuntadelcielo.co</t>
  </si>
  <si>
    <t>jvcruz@cafepuntadelcielo.co</t>
  </si>
  <si>
    <t>ibadillo@cafepuntadelcielo.co</t>
  </si>
  <si>
    <t>lroman@cafeportales.com</t>
  </si>
  <si>
    <t>adavid@cafepuntadelcielo.co</t>
  </si>
  <si>
    <t>mbaron@cafepuntadelcielo.co</t>
  </si>
  <si>
    <t>nescalona@cafepuntadelcielo.co</t>
  </si>
  <si>
    <t>dbarrientos@biabrands.co</t>
  </si>
  <si>
    <t>corodriguez@cafepuntadelcielo.co</t>
  </si>
  <si>
    <t>mcarretero@cafepuntadelcielo.co</t>
  </si>
  <si>
    <t>brojas@cafepuntadelcielo.co</t>
  </si>
  <si>
    <t>ecanas@cafepuntadelcielo.co</t>
  </si>
  <si>
    <t>agvite@cafepuntadelcielo.co</t>
  </si>
  <si>
    <t>gvega@cafepuntadelcielo.co</t>
  </si>
  <si>
    <t>crangel@cafepuntadelcielo.co</t>
  </si>
  <si>
    <t>agutierrezm@cafeportales.com</t>
  </si>
  <si>
    <t>epallares@cafepuntadelcielo.co</t>
  </si>
  <si>
    <t>asantiago@cafepuntadelcielo.co</t>
  </si>
  <si>
    <t>fcazarez@cafepuntadelcielo.co</t>
  </si>
  <si>
    <t>gamador@cafepuntadelcielo.co</t>
  </si>
  <si>
    <t>lvazquez@cafepuntadelcielo.co</t>
  </si>
  <si>
    <t>aramirez@cafepuntadelcielo.co</t>
  </si>
  <si>
    <t>gsuarez@cafepuntadelcielo.co</t>
  </si>
  <si>
    <t>erikag@cafepuntadelcielo.co</t>
  </si>
  <si>
    <t>szaldivar@cafepuntadelcielo.co</t>
  </si>
  <si>
    <t>amejia@cafepuntadelcielo.co</t>
  </si>
  <si>
    <t>anapoles@cafepuntadelcielo.co</t>
  </si>
  <si>
    <t>jvallejan@cafepuntadelcielo.co</t>
  </si>
  <si>
    <t>dtinoco@cafepuntadelcielo.co</t>
  </si>
  <si>
    <t>ateran@cafeportales.com</t>
  </si>
  <si>
    <t>lgallego@cafepuntadelcielo.co</t>
  </si>
  <si>
    <t>ebarcenas@cafepuntadelcielo.co</t>
  </si>
  <si>
    <t>daviles@cafepuntadelcielo.co</t>
  </si>
  <si>
    <t>anavarrete@cafepuntadelcielo.co</t>
  </si>
  <si>
    <t>ldelarosa@cafepuntadelcielo.co</t>
  </si>
  <si>
    <t>rfernandez@cafepuntadelcielo.co</t>
  </si>
  <si>
    <t>avertiz@cafepuntadelcielo.co</t>
  </si>
  <si>
    <t>jayala@cafepuntadelcielo.co</t>
  </si>
  <si>
    <t>lmontiel@cafepuntadelcielo.co</t>
  </si>
  <si>
    <t>jesusp@cafepuntadelcielo.co</t>
  </si>
  <si>
    <t>marianap@cafepuntadelcielo.co</t>
  </si>
  <si>
    <t>frodriguez@cafepuntadelcielo.co</t>
  </si>
  <si>
    <t>carodriguez@biabrands.co</t>
  </si>
  <si>
    <t>cpalmieri@cafepuntadelcielo.co</t>
  </si>
  <si>
    <t>ipalacios@cafepuntadelcielo.co</t>
  </si>
  <si>
    <t>dulces@cafepuntadelcielo.co</t>
  </si>
  <si>
    <t>davidh@cafepuntadelcielo.co</t>
  </si>
  <si>
    <t>oscarm@cafepuntadelcielo.co</t>
  </si>
  <si>
    <t>sricoy@cafepuntadelcielo.co</t>
  </si>
  <si>
    <t>mlopez@cafepuntadelcielo.co</t>
  </si>
  <si>
    <t>apadron@biafoods.com</t>
  </si>
  <si>
    <t>lgarrido@cafepuntadelcielo.co</t>
  </si>
  <si>
    <t>erickg@cafepuntadelcielo.co</t>
  </si>
  <si>
    <t>mcvicente@cafepuntadelcielo.co</t>
  </si>
  <si>
    <t>vjose@cafepuntadelcielo.co</t>
  </si>
  <si>
    <t>lmejia@cafepuntadelcielo.co</t>
  </si>
  <si>
    <t>ocuamatzi@cafepuntadelcielo.co</t>
  </si>
  <si>
    <t>jgalaviz@cafepuntadelcielo.co</t>
  </si>
  <si>
    <t>tramirez@cafepuntadelcielo.co</t>
  </si>
  <si>
    <t>icarvajal@cafepuntadelcielo.co</t>
  </si>
  <si>
    <t>enavarro@cafepuntadelcielo.co</t>
  </si>
  <si>
    <t>svega@cafepuntadelcielo.co</t>
  </si>
  <si>
    <t>equezada@biafoods.com</t>
  </si>
  <si>
    <t>agomez@biafoods.com</t>
  </si>
  <si>
    <t>OPERATIVO</t>
  </si>
  <si>
    <t>26/02/2008</t>
  </si>
  <si>
    <t>19/10/2009</t>
  </si>
  <si>
    <t>16/06/2011</t>
  </si>
  <si>
    <t>12/10/2012</t>
  </si>
  <si>
    <t>20/03/2013</t>
  </si>
  <si>
    <t>09/04/2013</t>
  </si>
  <si>
    <t>01/08/2013</t>
  </si>
  <si>
    <t>04/11/2013</t>
  </si>
  <si>
    <t>14/07/2014</t>
  </si>
  <si>
    <t>15/01/2015</t>
  </si>
  <si>
    <t>20/12/2016</t>
  </si>
  <si>
    <t>22/05/2017</t>
  </si>
  <si>
    <t>14/11/2017</t>
  </si>
  <si>
    <t>07/04/2018</t>
  </si>
  <si>
    <t>17/04/2018</t>
  </si>
  <si>
    <t>29/05/2018</t>
  </si>
  <si>
    <t>04/03/2019</t>
  </si>
  <si>
    <t>20/05/2019</t>
  </si>
  <si>
    <t>03/06/2019</t>
  </si>
  <si>
    <t>17/06/2019</t>
  </si>
  <si>
    <t>15/07/2019</t>
  </si>
  <si>
    <t>12/08/2019</t>
  </si>
  <si>
    <t>19/08/2019</t>
  </si>
  <si>
    <t>26/08/2019</t>
  </si>
  <si>
    <t>26/11/2019</t>
  </si>
  <si>
    <t>04/02/2020</t>
  </si>
  <si>
    <t>24/02/2020</t>
  </si>
  <si>
    <t>06/04/2020</t>
  </si>
  <si>
    <t>06/11/2020</t>
  </si>
  <si>
    <t>09/12/2020</t>
  </si>
  <si>
    <t>20/01/2021</t>
  </si>
  <si>
    <t>08/04/2021</t>
  </si>
  <si>
    <t>24/05/2021</t>
  </si>
  <si>
    <t>07/06/2021</t>
  </si>
  <si>
    <t>02/08/2021</t>
  </si>
  <si>
    <t>30/08/2021</t>
  </si>
  <si>
    <t>26/11/2021</t>
  </si>
  <si>
    <t>10/01/2022</t>
  </si>
  <si>
    <t>24/01/2022</t>
  </si>
  <si>
    <t>07/03/2022</t>
  </si>
  <si>
    <t>18/04/2022</t>
  </si>
  <si>
    <t>02/05/2022</t>
  </si>
  <si>
    <t>30/05/2022</t>
  </si>
  <si>
    <t>08/08/2022</t>
  </si>
  <si>
    <t>29/08/2022</t>
  </si>
  <si>
    <t>08/12/2022</t>
  </si>
  <si>
    <t>23/01/2023</t>
  </si>
  <si>
    <t>13/02/2023</t>
  </si>
  <si>
    <t>13/03/2023</t>
  </si>
  <si>
    <t>05/04/2023</t>
  </si>
  <si>
    <t>26/04/2023</t>
  </si>
  <si>
    <t>04/07/2023</t>
  </si>
  <si>
    <t>15/08/2023</t>
  </si>
  <si>
    <t>15/01/2024</t>
  </si>
  <si>
    <t>19/03/2024</t>
  </si>
  <si>
    <t>01/04/2024</t>
  </si>
  <si>
    <t>19/04/2024</t>
  </si>
  <si>
    <t>29/04/2024</t>
  </si>
  <si>
    <t>02/05/2024</t>
  </si>
  <si>
    <t>06/05/2024</t>
  </si>
  <si>
    <t>03/06/2024</t>
  </si>
  <si>
    <t>22/07/2024</t>
  </si>
  <si>
    <t>19/08/2024</t>
  </si>
  <si>
    <t>14/10/2024</t>
  </si>
  <si>
    <t>28/10/2024</t>
  </si>
  <si>
    <t>25/11/2024</t>
  </si>
  <si>
    <t>17/02/2025</t>
  </si>
  <si>
    <t>10/03/2025</t>
  </si>
  <si>
    <t>11/03/2025</t>
  </si>
  <si>
    <t>18/03/2025</t>
  </si>
  <si>
    <t>20/03/2025</t>
  </si>
  <si>
    <t>31/03/2025</t>
  </si>
  <si>
    <t>16/05/2025</t>
  </si>
  <si>
    <t>16/06/2025</t>
  </si>
  <si>
    <t>23/07/2025</t>
  </si>
  <si>
    <t>19/08/2025</t>
  </si>
  <si>
    <t>25/08/2025</t>
  </si>
  <si>
    <t>06/10/2025</t>
  </si>
  <si>
    <t>20/10/2025</t>
  </si>
  <si>
    <t>01/02/2026</t>
  </si>
  <si>
    <t>24/02/2026</t>
  </si>
  <si>
    <t>18/02/2019</t>
  </si>
  <si>
    <t>22/04/2021</t>
  </si>
  <si>
    <t>04/09/2014</t>
  </si>
  <si>
    <t>08/09/2014</t>
  </si>
  <si>
    <t>21/11/2014</t>
  </si>
  <si>
    <t>08/06/2015</t>
  </si>
  <si>
    <t>28/08/2015</t>
  </si>
  <si>
    <t>28/10/2015</t>
  </si>
  <si>
    <t>24/05/2016</t>
  </si>
  <si>
    <t>26/07/2016</t>
  </si>
  <si>
    <t>22/08/2016</t>
  </si>
  <si>
    <t>05/12/2016</t>
  </si>
  <si>
    <t>15/12/2016</t>
  </si>
  <si>
    <t>20/10/2017</t>
  </si>
  <si>
    <t>09/01/2018</t>
  </si>
  <si>
    <t>29/01/2018</t>
  </si>
  <si>
    <t>12/02/2018</t>
  </si>
  <si>
    <t>20/06/2018</t>
  </si>
  <si>
    <t>26/06/2018</t>
  </si>
  <si>
    <t>13/08/2018</t>
  </si>
  <si>
    <t>22/10/2018</t>
  </si>
  <si>
    <t>20/11/2018</t>
  </si>
  <si>
    <t>31/07/2019</t>
  </si>
  <si>
    <t>13/01/2020</t>
  </si>
  <si>
    <t>27/04/2020</t>
  </si>
  <si>
    <t>28/09/2020</t>
  </si>
  <si>
    <t>30/09/2020</t>
  </si>
  <si>
    <t>20/10/2020</t>
  </si>
  <si>
    <t>28/10/2020</t>
  </si>
  <si>
    <t>29/12/2020</t>
  </si>
  <si>
    <t>09/02/2021</t>
  </si>
  <si>
    <t>15/02/2021</t>
  </si>
  <si>
    <t>23/03/2021</t>
  </si>
  <si>
    <t>12/08/2021</t>
  </si>
  <si>
    <t>17/08/2021</t>
  </si>
  <si>
    <t>21/10/2021</t>
  </si>
  <si>
    <t>03/11/2021</t>
  </si>
  <si>
    <t>13/11/2021</t>
  </si>
  <si>
    <t>17/11/2021</t>
  </si>
  <si>
    <t>24/11/2021</t>
  </si>
  <si>
    <t>14/02/2022</t>
  </si>
  <si>
    <t>18/02/2022</t>
  </si>
  <si>
    <t>20/07/2022</t>
  </si>
  <si>
    <t>12/09/2022</t>
  </si>
  <si>
    <t>21/09/2022</t>
  </si>
  <si>
    <t>10/10/2022</t>
  </si>
  <si>
    <t>24/10/2022</t>
  </si>
  <si>
    <t>15/11/2022</t>
  </si>
  <si>
    <t>23/11/2022</t>
  </si>
  <si>
    <t>16/01/2023</t>
  </si>
  <si>
    <t>31/01/2023</t>
  </si>
  <si>
    <t>27/02/2023</t>
  </si>
  <si>
    <t>03/04/2023</t>
  </si>
  <si>
    <t>17/04/2023</t>
  </si>
  <si>
    <t>20/04/2023</t>
  </si>
  <si>
    <t>24/04/2023</t>
  </si>
  <si>
    <t>10/05/2023</t>
  </si>
  <si>
    <t>02/06/2023</t>
  </si>
  <si>
    <t>26/06/2023</t>
  </si>
  <si>
    <t>19/07/2023</t>
  </si>
  <si>
    <t>31/07/2023</t>
  </si>
  <si>
    <t>07/08/2023</t>
  </si>
  <si>
    <t>23/08/2023</t>
  </si>
  <si>
    <t>09/10/2023</t>
  </si>
  <si>
    <t>16/10/2023</t>
  </si>
  <si>
    <t>06/11/2023</t>
  </si>
  <si>
    <t>08/11/2023</t>
  </si>
  <si>
    <t>10/11/2023</t>
  </si>
  <si>
    <t>13/11/2023</t>
  </si>
  <si>
    <t>27/11/2023</t>
  </si>
  <si>
    <t>30/11/2023</t>
  </si>
  <si>
    <t>06/12/2023</t>
  </si>
  <si>
    <t>02/01/2024</t>
  </si>
  <si>
    <t>16/01/2024</t>
  </si>
  <si>
    <t>31/01/2024</t>
  </si>
  <si>
    <t>12/02/2024</t>
  </si>
  <si>
    <t>16/02/2024</t>
  </si>
  <si>
    <t>28/02/2024</t>
  </si>
  <si>
    <t>04/03/2024</t>
  </si>
  <si>
    <t>08/04/2024</t>
  </si>
  <si>
    <t>13/05/2024</t>
  </si>
  <si>
    <t>20/05/2024</t>
  </si>
  <si>
    <t>03/10/2024</t>
  </si>
  <si>
    <t>07/10/2024</t>
  </si>
  <si>
    <t>04/11/2024</t>
  </si>
  <si>
    <t>08/11/2024</t>
  </si>
  <si>
    <t>07/01/2025</t>
  </si>
  <si>
    <t>16/01/2025</t>
  </si>
  <si>
    <t>27/01/2025</t>
  </si>
  <si>
    <t>24/02/2025</t>
  </si>
  <si>
    <t>10/04/2025</t>
  </si>
  <si>
    <t>11/06/2025</t>
  </si>
  <si>
    <t>11/08/2025</t>
  </si>
  <si>
    <t>18/08/2025</t>
  </si>
  <si>
    <t>08/09/2025</t>
  </si>
  <si>
    <t>11/09/2025</t>
  </si>
  <si>
    <t>30/09/2025</t>
  </si>
  <si>
    <t>03/11/2025</t>
  </si>
  <si>
    <t>26/12/2017</t>
  </si>
  <si>
    <t>03/02/2026</t>
  </si>
  <si>
    <t>09/02/2026</t>
  </si>
  <si>
    <t>26/06/2026</t>
  </si>
  <si>
    <t>29/06/2026</t>
  </si>
  <si>
    <t>SI</t>
  </si>
  <si>
    <t>NOMBRE COMPLETO</t>
  </si>
  <si>
    <t>HOMOLOGACIÓN</t>
  </si>
  <si>
    <t>GUTIERREZ VITE AUGUSTO ALONSO</t>
  </si>
  <si>
    <t>COORDINADOR ADMINISTRATIVO TRADE</t>
  </si>
  <si>
    <t>HERRERA CRUZ ALEJANDRO</t>
  </si>
  <si>
    <t>CPFR</t>
  </si>
  <si>
    <t>GOMEZ REYES RICARDO EMANUEL</t>
  </si>
  <si>
    <t>LOPEZ PALLARES ELIZABETH</t>
  </si>
  <si>
    <t>EJECUTIVO DE FOOD SERVICE</t>
  </si>
  <si>
    <t>ESCALONA MEXICA NANCY</t>
  </si>
  <si>
    <t>ESPECIALISTA DE OBZ COMERCIAL</t>
  </si>
  <si>
    <t>JIMENEZ UGALDE JORGE ANTONIO</t>
  </si>
  <si>
    <t>GERENTE COMERCIAL</t>
  </si>
  <si>
    <t>CORTES CAZAREZ FELIPE</t>
  </si>
  <si>
    <t>GERENTE TRADE MARKETING</t>
  </si>
  <si>
    <t>SILVA SANTIAGO ARTURO</t>
  </si>
  <si>
    <t>KAM MAYOREO Y DISTRIBUIDORES</t>
  </si>
  <si>
    <t>LOPEZ HIDROGO PAULA</t>
  </si>
  <si>
    <t>KAM NORTE</t>
  </si>
  <si>
    <t>VALENZUELA LOPEZ MAURICIO EDUARDO</t>
  </si>
  <si>
    <t>KAM VALLE DE MEXICO</t>
  </si>
  <si>
    <t>MEDINA CRUZ FERNANDO</t>
  </si>
  <si>
    <t>PROMOTOR DE VENTAS</t>
  </si>
  <si>
    <t>ALAMILLA LOPEZ MARGARITA</t>
  </si>
  <si>
    <t>MUÑOZ CITUK MANUEL ULISES</t>
  </si>
  <si>
    <t>DELGADO YAÑEZ CAROLINA</t>
  </si>
  <si>
    <t>RUIZ CRUZ LISVETHE VERONICA</t>
  </si>
  <si>
    <t>MAYA TORALES JOSE LUIS</t>
  </si>
  <si>
    <t>MORALES SANTIAGO MAGALI</t>
  </si>
  <si>
    <t>SERAFIN GONZALEZ MARIA DE JESUS</t>
  </si>
  <si>
    <t>BIAIS RODRIGUEZ MARIA GUADALUPE</t>
  </si>
  <si>
    <t>PEREZ VELAZQUEZ MAVEL</t>
  </si>
  <si>
    <t>PALMA SERRATO SANDRA PATRICIA</t>
  </si>
  <si>
    <t>ARGUMEDO SERRANO ROSARIO DE FATIMA</t>
  </si>
  <si>
    <t>GARCIA BAUTISTA ADA VICTORIA</t>
  </si>
  <si>
    <t>PAJARO GONZALEZ JACQUELINE</t>
  </si>
  <si>
    <t>PARRA MARTINEZ CAROLINA</t>
  </si>
  <si>
    <t>CORONEL RODRIGUEZ FATIMA ALEJANDRA</t>
  </si>
  <si>
    <t>HERNANDEZ ROJAS JOSEFINA</t>
  </si>
  <si>
    <t>PALACIOS MENDEZ JUAN MANUEL</t>
  </si>
  <si>
    <t>GALAN ZAMUDIO MARIA CONCEPCION</t>
  </si>
  <si>
    <t>ROSAS PULIDO MARCELA</t>
  </si>
  <si>
    <t>GARCIA JUAREZ CATHY CECILIA</t>
  </si>
  <si>
    <t>LARA RIVERA CLAUDIA</t>
  </si>
  <si>
    <t>GARCIA REYES MIGUEL ANGEL</t>
  </si>
  <si>
    <t>RODRIGUEZ CAMARGO DAVID</t>
  </si>
  <si>
    <t>LOERA DAVILA NANCY LIRIO</t>
  </si>
  <si>
    <t>ZERTUCHE RUIZ SONIA</t>
  </si>
  <si>
    <t>GARCIA ESQUIVEL BLANCA ESTHELA</t>
  </si>
  <si>
    <t>CRUZ URBINA MARIBEL</t>
  </si>
  <si>
    <t>SANCHEZ CORDOVA EUNICE</t>
  </si>
  <si>
    <t>SANCHEZ CASTRO CECILIA PATRICIA</t>
  </si>
  <si>
    <t>KONSTADUDAKIS HERNANDEZ ANA ADILCIA</t>
  </si>
  <si>
    <t>KU ESTRELLA CARLOS ALEJANDRO</t>
  </si>
  <si>
    <t>CARRILLO PULIDO OSVALDO FERNANDO</t>
  </si>
  <si>
    <t>CASADOS HERNANDEZ LUIS MIGUEL</t>
  </si>
  <si>
    <t>OSORIO ROMERO SAMUEL</t>
  </si>
  <si>
    <t>BELLO DIAZ MA SARITA</t>
  </si>
  <si>
    <t>BAUTISTA ANGUIANO VERONICA</t>
  </si>
  <si>
    <t>OÑATE PEÑALOZA SONIA</t>
  </si>
  <si>
    <t>CALZADA PEREZ CUAUHTEMOC</t>
  </si>
  <si>
    <t>SOTO VARGAS JOSE CARLOS</t>
  </si>
  <si>
    <t>DEL MONTE CRUZ MARIA ISABEL</t>
  </si>
  <si>
    <t>RODRIGUEZ ORTIZ MA DE LA LUZ</t>
  </si>
  <si>
    <t>IBARRA LOPEZ ANA MARIA</t>
  </si>
  <si>
    <t>ZUÑIGA VARGAS MARIA DEL CARMEN</t>
  </si>
  <si>
    <t>ALEJANDRO LEONARDO MARIA ESTHELA</t>
  </si>
  <si>
    <t>RAMIREZ CAPILLA CELIA</t>
  </si>
  <si>
    <t>MALPICA ESPINOZA SILVIA ISABEL</t>
  </si>
  <si>
    <t>VAZQUEZ LISCANO ELVIRA</t>
  </si>
  <si>
    <t>ALCAZAR BALVANERA BARBARA ISABEL</t>
  </si>
  <si>
    <t>TOVAR BALDERRAMA FRANCISCO ADRIEL</t>
  </si>
  <si>
    <t>SUPERVISOR TRADE MARKETING</t>
  </si>
  <si>
    <t>PECH PANTI RICARDO JAVIER</t>
  </si>
  <si>
    <t>AMAYA PROA CLAUDIA MARGARITA</t>
  </si>
  <si>
    <t>LUNA CERVANTES DORA ELIZABETH</t>
  </si>
  <si>
    <t>BENITEZ GUERRERO ENRIQUE</t>
  </si>
  <si>
    <t>TECNICO FOOD SERVICE</t>
  </si>
  <si>
    <t>RODRIGUEZ MARCIA CARLOS ARTURO</t>
  </si>
  <si>
    <t>GERENTE GENERAL</t>
  </si>
  <si>
    <t>NORIEGA ESPINOSA SHUNASHI BELEN</t>
  </si>
  <si>
    <t>ANALISTA CONTABLE</t>
  </si>
  <si>
    <t>DURAN RODRIGUEZ NICANOR</t>
  </si>
  <si>
    <t>PEREZ ABAD ANDRES</t>
  </si>
  <si>
    <t>CRESCENCIO ESQUIVEL ELIA</t>
  </si>
  <si>
    <t>MARTINEZ MARTINEZ JOSE ANTONIO</t>
  </si>
  <si>
    <t>VAZQUEZ CRUZ JAZMIN</t>
  </si>
  <si>
    <t>ANALISTA CUENTAS POR PAGAR</t>
  </si>
  <si>
    <t>AVILA PAEZ VERONICA</t>
  </si>
  <si>
    <t>LOPEZ GARCIA EYBER ALEJANDRO</t>
  </si>
  <si>
    <t>RODRIGUEZ LOPEZ CLAUDIA OLIVIA</t>
  </si>
  <si>
    <t>TERAN FRIAS ANGEL</t>
  </si>
  <si>
    <t>SANCHEZ CASTILLO JAQUELIN</t>
  </si>
  <si>
    <t>ANALISTA DE COSTOS</t>
  </si>
  <si>
    <t>RODRIGUEZ GARRIDO LUZ MARIA</t>
  </si>
  <si>
    <t>VEGA MUÑOZ SOFIA GUADALUPE</t>
  </si>
  <si>
    <t>DIAZ BAYONA SARA</t>
  </si>
  <si>
    <t>ANALISTA DE CUENTAS POR PAGAR</t>
  </si>
  <si>
    <t>CERON RAMIREZ CONCEPCION</t>
  </si>
  <si>
    <t>ANALISTA DE PLANEACIÓN FINANCIERA</t>
  </si>
  <si>
    <t>RIVERA MARTINEZ JESUS ALBERTO</t>
  </si>
  <si>
    <t>ANALISTA FINANCIERO</t>
  </si>
  <si>
    <t>LORANCA AQUINO MARIANA</t>
  </si>
  <si>
    <t>ANALISTA FISCAL</t>
  </si>
  <si>
    <t>HERNANDEZ PINEDA MARIANA MINUET</t>
  </si>
  <si>
    <t>CAÑAS GONZALEZ ERICK FABIAN</t>
  </si>
  <si>
    <t>ANALISTA IT</t>
  </si>
  <si>
    <t>VALLEJAN SOLIS JHOVANY</t>
  </si>
  <si>
    <t>BECARIO</t>
  </si>
  <si>
    <t>TINOCO HERNANDEZ DAFNE YUNNUEN</t>
  </si>
  <si>
    <t>DE LA ROSA SOTO LAURA ELENA</t>
  </si>
  <si>
    <t>CONTROLLER FINANCIERO</t>
  </si>
  <si>
    <t>DOMINGUEZ SANCHEZ NAYELI</t>
  </si>
  <si>
    <t>COORDINADOR CONTABLE</t>
  </si>
  <si>
    <t>MACIAS PREZA DANIEL</t>
  </si>
  <si>
    <t>PALMIERI CASIANO CLAUDIA ELIZABETH</t>
  </si>
  <si>
    <t>GOMEZ RUIZ NANCY JANET</t>
  </si>
  <si>
    <t>COORDINADOR CUENTAS POR COBRAR</t>
  </si>
  <si>
    <t>CRUZ PEREZ NORMA ANAHI</t>
  </si>
  <si>
    <t>COORDINADOR DE PLANEACION FINANCIERA</t>
  </si>
  <si>
    <t>HERNANDEZ LOPEZ OSCAR</t>
  </si>
  <si>
    <t>COORDINADOR IT</t>
  </si>
  <si>
    <t>CERON DURAN MARIO ALBERTO</t>
  </si>
  <si>
    <t>CAMACHO MEDINA EDUARDO</t>
  </si>
  <si>
    <t>ESPECIALISTA CONTABLE</t>
  </si>
  <si>
    <t>VERTIZ ESTEVEZ ANA MARIA DEL CARMEN</t>
  </si>
  <si>
    <t>GERENTE FINANCIERO</t>
  </si>
  <si>
    <t>ALVAREZ RIOS EDGAR</t>
  </si>
  <si>
    <t>JEFE DE CONTABILIDAD</t>
  </si>
  <si>
    <t>TRINIDAD RODRIGUEZ CAROLINA</t>
  </si>
  <si>
    <t>JEFE DE COSTOS</t>
  </si>
  <si>
    <t>MENDOZA TORRES ANA LILIA</t>
  </si>
  <si>
    <t>JEFE DE CUENTAS POR COBRAR</t>
  </si>
  <si>
    <t>ROJAS MONROY BRENDA</t>
  </si>
  <si>
    <t>JEFE DE CUENTAS POR PAGAR</t>
  </si>
  <si>
    <t>HERNANDEZ NAPOLES AGUSTIN</t>
  </si>
  <si>
    <t>JEFE DE IMPUESTOS</t>
  </si>
  <si>
    <t>RODRIGUEZ MELGOZA ANTONIO SEBASTIAN</t>
  </si>
  <si>
    <t>JEFE DE PLANEACION FINANCIERA</t>
  </si>
  <si>
    <t>VAZQUEZ RANGEL JESSICA YOZANDY</t>
  </si>
  <si>
    <t>JEFE DE TESORERIA</t>
  </si>
  <si>
    <t>CARBAJAL HERNANDEZ ITZEL</t>
  </si>
  <si>
    <t>ANALISTA DE GENTE &amp; GESTION</t>
  </si>
  <si>
    <t>MARTINEZ MARTINEZ NEIDY</t>
  </si>
  <si>
    <t>ANALISTA DE SERVICIOS GENERALES</t>
  </si>
  <si>
    <t>GALLEGOS VARGAS DIANA KAREN</t>
  </si>
  <si>
    <t>COORDINADOR DE COM &amp; CULTURA</t>
  </si>
  <si>
    <t>SANCHEZ MARTINEZ DULCE ANGELICA</t>
  </si>
  <si>
    <t>COORDINADOR DE DESARROLLO &amp; GESTIÓN</t>
  </si>
  <si>
    <t>LOPEZ BRITO EFRAIN</t>
  </si>
  <si>
    <t>COORDINADOR DE NOMINA</t>
  </si>
  <si>
    <t>BADILLO TORRES IVONNE</t>
  </si>
  <si>
    <t>ROMAN NONOAL LUIS FELIPE</t>
  </si>
  <si>
    <t>CARRETERO LOPEZ MICHAEL KARINA</t>
  </si>
  <si>
    <t>COORDINADOR G&amp;G</t>
  </si>
  <si>
    <t>ZALDIVAR CANOVAS SARA MONSERRAT JULIA</t>
  </si>
  <si>
    <t>GARCIA MINGOLE ANAYELI</t>
  </si>
  <si>
    <t>JEFE DE G&amp;G</t>
  </si>
  <si>
    <t>SANTOS HERNANDEZ LUIS ANTONIO</t>
  </si>
  <si>
    <t>JEFE DE REMUNERACION &amp; OBZ</t>
  </si>
  <si>
    <t>VEGA HERNANDEZ GRECIA</t>
  </si>
  <si>
    <t>ANALISTA DE SOSTENIBILIDAD</t>
  </si>
  <si>
    <t>JIMENEZ ALVARADO SELENE AMERICA</t>
  </si>
  <si>
    <t>ANALISTA LEGAL</t>
  </si>
  <si>
    <t>BARRIENTOS RIVERA DIEGO</t>
  </si>
  <si>
    <t>ESPECIALISTA JURIDICO</t>
  </si>
  <si>
    <t>MENDEZ RODRIGUEZ FERNANDA BETZABE</t>
  </si>
  <si>
    <t>JIMENEZ DEL RAZO CARMEN EDITH</t>
  </si>
  <si>
    <t>JEFE DE SOSTENIBILIDAD</t>
  </si>
  <si>
    <t>BARON ROJAS MAYRA SOFIA</t>
  </si>
  <si>
    <t>VERIFICADOR</t>
  </si>
  <si>
    <t>DAVID CAMACHO ALEJANDRA BERENICE</t>
  </si>
  <si>
    <t>ESPECIALISTA DE DISEÑO GRAFICO</t>
  </si>
  <si>
    <t>COLIN MAYEN ESTEPHANY</t>
  </si>
  <si>
    <t>ESPECIALISTA DE MARKETING</t>
  </si>
  <si>
    <t>MONTIEL MANSO LUIS ALBERTO</t>
  </si>
  <si>
    <t>GERENTE DE MARKETING</t>
  </si>
  <si>
    <t>SANCHEZ MONTOYA RAFAEL</t>
  </si>
  <si>
    <t>ANALISTA BI</t>
  </si>
  <si>
    <t>RAMIREZ RODRIGUEZ YOKO GORETI</t>
  </si>
  <si>
    <t>ANALISTA DE INOCUIDAD</t>
  </si>
  <si>
    <t>GAYTAN LARA ANA ESTEFANIA</t>
  </si>
  <si>
    <t>ANALISTA R&amp;D</t>
  </si>
  <si>
    <t>ZAMORA MOLINA OSCAR IVAN</t>
  </si>
  <si>
    <t>ANALISTA SSO</t>
  </si>
  <si>
    <t>OLMOS LOPEZ DEBORA</t>
  </si>
  <si>
    <t>ISLAS NIETO JOSE MANUEL</t>
  </si>
  <si>
    <t>AUXILIAR DE BODEGA</t>
  </si>
  <si>
    <t>ROJAS GARCIA RODOLFO AZAEL</t>
  </si>
  <si>
    <t>HUERTA ROJO ALEXIS</t>
  </si>
  <si>
    <t>TAPIA HERNANDEZ JOSE CARLOS</t>
  </si>
  <si>
    <t>FLORES ORTEGA ALEJANDRO</t>
  </si>
  <si>
    <t>FERNANDEZ MAGAÑA OSEI OMAR</t>
  </si>
  <si>
    <t>CARBAJAL JUAREZ CARLOS GUILLERMO</t>
  </si>
  <si>
    <t>LOPEZ CASTAÑEDA OSCAR ALI</t>
  </si>
  <si>
    <t>VARGAS VARGAS AXCELL</t>
  </si>
  <si>
    <t>GONZALEZ RIVERA JESUS</t>
  </si>
  <si>
    <t>HERNANDEZ DAVILA CARLOS RODOLFO</t>
  </si>
  <si>
    <t>ESPINOZA RODRIGUEZ HECTOR JESUS</t>
  </si>
  <si>
    <t>GUZMAN VAZQUEZ ALEX DANIEL</t>
  </si>
  <si>
    <t>MONREAL MORAN CARLOS</t>
  </si>
  <si>
    <t>LOPEZ HERNANDEZ VICTOR HUGO</t>
  </si>
  <si>
    <t>CADENAS HERNANDEZ MARCO ANTONIO</t>
  </si>
  <si>
    <t>CALIXTRO MORENO RODRIGO EMMANUEL</t>
  </si>
  <si>
    <t>RODRIGUEZ RANGEL BENJAMIN</t>
  </si>
  <si>
    <t>HERNANDEZ NEGRETE JONATHAN DAVID</t>
  </si>
  <si>
    <t>MONROY ZAMBRANO CHRISTIAN</t>
  </si>
  <si>
    <t>CRUZ MARTINEZ CARLOS ADOLFO</t>
  </si>
  <si>
    <t>FLORES ROJAS JOSE FELIX</t>
  </si>
  <si>
    <t>AUXILIAR DE INFRAESTRUCTURA</t>
  </si>
  <si>
    <t>ROSALES RODRIGUEZ JAVIER</t>
  </si>
  <si>
    <t>CHOFER</t>
  </si>
  <si>
    <t>CARMONA DEL RAZO OFELIA</t>
  </si>
  <si>
    <t>AYUDANTE GENERAL A</t>
  </si>
  <si>
    <t>RODRIGUEZ GARCIA MARIA AUCENSIA LETICIA</t>
  </si>
  <si>
    <t>AUXILIAR DE LIMPIEZA</t>
  </si>
  <si>
    <t>MUÑOZ MARTINEZ CRUZ</t>
  </si>
  <si>
    <t>NEGRETE CHAVEZ CINTHIA PAOLA</t>
  </si>
  <si>
    <t>CASTRO MONTOYA CRISTINA MAGALI</t>
  </si>
  <si>
    <t>CASTAÑEDA GALVAN NIDIA</t>
  </si>
  <si>
    <t>LOPEZ GARCIA JUANA AIDE</t>
  </si>
  <si>
    <t>HERNANDEZ LOPEZ JUAN FERNANDO</t>
  </si>
  <si>
    <t>VILLEDA MORENO MANUEL JAVIER</t>
  </si>
  <si>
    <t>AUXILIAR DE MANTENIMIENTO</t>
  </si>
  <si>
    <t>BONILLA OLIVARES NOEL</t>
  </si>
  <si>
    <t>SEGURA MANOATL FERNANDO</t>
  </si>
  <si>
    <t>HERNANDEZ HERNANDEZ MIGUEL ANGEL</t>
  </si>
  <si>
    <t>MARTINEZ HERNANDEZ NATALIA SOFIA</t>
  </si>
  <si>
    <t>AUXILIAR DE MONITOREO</t>
  </si>
  <si>
    <t>GARCIA HERNANDEZ JESUS MICHELL</t>
  </si>
  <si>
    <t>AUSTRIA LOPEZ MAURICIO</t>
  </si>
  <si>
    <t>VAZQUEZ DAVILA EVELYN PAULINA</t>
  </si>
  <si>
    <t>AUXILIAR DE PRODUCCIÓN</t>
  </si>
  <si>
    <t>GONZALEZ PIEDRAS VANESA</t>
  </si>
  <si>
    <t>JIMENEZ VAZQUEZ ROSA CRYSTAL</t>
  </si>
  <si>
    <t>MUÑOZ PALESTINA MA. TERESA</t>
  </si>
  <si>
    <t>LUGO AGUILAR MARIA LORENA</t>
  </si>
  <si>
    <t>VALDERRABANO CUESTA ELENA</t>
  </si>
  <si>
    <t>GOMEZ CASTILLO ALICIA</t>
  </si>
  <si>
    <t>MOTA MENDEZ YOLANDA</t>
  </si>
  <si>
    <t>RAMIREZ VALENCIA GUADALUPE</t>
  </si>
  <si>
    <t>HERNANDEZ HERNANDEZ KARINA</t>
  </si>
  <si>
    <t>VAZQUEZ DURAN PEDRO</t>
  </si>
  <si>
    <t>JIMENEZ ZAMORA DIANA JUDITH</t>
  </si>
  <si>
    <t>HERNANDEZ AGUILAR RAFAEL</t>
  </si>
  <si>
    <t>LOPEZ HERNANDEZ NORBERTA</t>
  </si>
  <si>
    <t>GUTIERREZ GARCIA GUILLERMINA</t>
  </si>
  <si>
    <t>SANCHEZ HUERTA PETRA</t>
  </si>
  <si>
    <t>SANCHEZ FLORES JUAN CARLOS</t>
  </si>
  <si>
    <t>MUÑOZ SALINAS MARIA ISABEL</t>
  </si>
  <si>
    <t>SANCHEZ RODRIGUEZ MARIA RAQUEL</t>
  </si>
  <si>
    <t>HERNANDEZ PEREZ MARIBEL</t>
  </si>
  <si>
    <t>GARCIA FLORES SARA MARIELA</t>
  </si>
  <si>
    <t>MONTES FLORES MA. GUADALUPE</t>
  </si>
  <si>
    <t>HUERTA MIRANDA DIONICIO</t>
  </si>
  <si>
    <t>LIMA GARCIA ANGELICA</t>
  </si>
  <si>
    <t>SALINAS GARCIA MARISOL</t>
  </si>
  <si>
    <t>MONTIEL HERNANDEZ SOFIA</t>
  </si>
  <si>
    <t>LOPEZ DURAN VERONICA</t>
  </si>
  <si>
    <t>ORTEGA RODRIGUEZ EVELIN</t>
  </si>
  <si>
    <t>CERVANTES HERNANDEZ SANDRA</t>
  </si>
  <si>
    <t>PEREZ HERNANDEZ KELLI JOSELIN</t>
  </si>
  <si>
    <t>LEMUS JAVIER BRAULIO</t>
  </si>
  <si>
    <t>PEREZ TAPIA MARIA GUADALUPE</t>
  </si>
  <si>
    <t>SANCHEZ GARCIA ERICK BARUCH</t>
  </si>
  <si>
    <t>ROSALES HERNANDEZ DALIA XOCHITL</t>
  </si>
  <si>
    <t>LOPEZ PEREZ DANIEL BLAS</t>
  </si>
  <si>
    <t>CARMONA GARCIA ALBERTO</t>
  </si>
  <si>
    <t>HERNANDEZ RAMIREZ BRIAN ALEJANDRO</t>
  </si>
  <si>
    <t>GONZALEZ FLORES LAURA</t>
  </si>
  <si>
    <t>VAZQUEZ HERNANDEZ VIRIDIANA</t>
  </si>
  <si>
    <t>LEON LOPEZ ROBERTO</t>
  </si>
  <si>
    <t>ROMANO ORTEGA LAURA MONSERRAT</t>
  </si>
  <si>
    <t>HUERTA MARTINEZ JORGE ARTURO</t>
  </si>
  <si>
    <t>QUINTERO MUÑOZ JOSE DANIEL</t>
  </si>
  <si>
    <t>ORTEGA SAAVEDRA EMMANUEL</t>
  </si>
  <si>
    <t>MORALES CENTENO LOURDES</t>
  </si>
  <si>
    <t>GARCIA FLORES JOSE MANUEL</t>
  </si>
  <si>
    <t>LEUCONA GONZALEZ EDGAR</t>
  </si>
  <si>
    <t>DEGANTE CARDENAS JUDITH AURORA</t>
  </si>
  <si>
    <t>SALDAÑA VAZQUEZ METZTLI AHTZIRY</t>
  </si>
  <si>
    <t>AYUDANTE GENERAL B</t>
  </si>
  <si>
    <t>LECUONA GOMEZ RICARDO</t>
  </si>
  <si>
    <t>LAUREANO MUÑOZ RAMIRO DANIEL</t>
  </si>
  <si>
    <t>CASTILLO CHAVEZ CRUZ ROCIO</t>
  </si>
  <si>
    <t>BADILLO GONZALEZ CITLALLI</t>
  </si>
  <si>
    <t>BONILLA LOPEZ GUADALUPE</t>
  </si>
  <si>
    <t>MARTINEZ ZAVALETA CARLOS ALBERTO</t>
  </si>
  <si>
    <t>SERVIN FLORES JOSE GERARDO</t>
  </si>
  <si>
    <t>MENDOZA CAMACHO OSCAR RAMON</t>
  </si>
  <si>
    <t>RUIZ MORALES MARCO ANTONIO</t>
  </si>
  <si>
    <t>RODRIGUEZ CORONA JOAQUIN</t>
  </si>
  <si>
    <t>REYES SANCHEZ FERNANDO</t>
  </si>
  <si>
    <t>GONZALEZ GUARNEROS ANGEL OMAR</t>
  </si>
  <si>
    <t>MUÑOZ VAZQUEZ LILIANA</t>
  </si>
  <si>
    <t>CIT LOGISTICA</t>
  </si>
  <si>
    <t>CABRERA VICENTE MARIBEL</t>
  </si>
  <si>
    <t>CIT MANUFACTURA</t>
  </si>
  <si>
    <t>COTLAME APALE ANTONIA RUFINA</t>
  </si>
  <si>
    <t>COORDINADOR DE ABASTECIMIENTO</t>
  </si>
  <si>
    <t>RODRIGUEZ RODRIGUEZ LIZBETH</t>
  </si>
  <si>
    <t>SANDRE MERINO ESTEFANIA</t>
  </si>
  <si>
    <t>COORDINADOR DE BODEGA</t>
  </si>
  <si>
    <t>CASTILLO RAMIREZ RURIK</t>
  </si>
  <si>
    <t>GONZALEZ VAZQUEZ ERICK</t>
  </si>
  <si>
    <t>CALIXTRO HERNANDEZ CARLOS</t>
  </si>
  <si>
    <t>LOPEZ HERNANDEZ JESSICA GUADALUPE</t>
  </si>
  <si>
    <t>OLVERA LANDEROS SANDRA</t>
  </si>
  <si>
    <t>COORDINADOR DE COMPRAS</t>
  </si>
  <si>
    <t>RAMIREZ AMADOR GABRIEL</t>
  </si>
  <si>
    <t>GOMEZ RANGEL CECILIA</t>
  </si>
  <si>
    <t>PEREZ GARCIA JESUS DAVID</t>
  </si>
  <si>
    <t>COORDINADOR DE FACTURACION</t>
  </si>
  <si>
    <t>RAMIREZ ROMANO TERESA</t>
  </si>
  <si>
    <t>COORDINADOR DE INOCUIDAD</t>
  </si>
  <si>
    <t>VEYNA TREJO VERONICA</t>
  </si>
  <si>
    <t>COORDINADOR DE INVENTARIOS</t>
  </si>
  <si>
    <t>MUÑOZ TAPIA RICARDO</t>
  </si>
  <si>
    <t>COORDINADOR DE MANTENIMIENTO</t>
  </si>
  <si>
    <t>GUTIERREZ MORALES ARIANA</t>
  </si>
  <si>
    <t>COORDINADOR DE PLANIFICACION DE ABASTECIMIENTO</t>
  </si>
  <si>
    <t>MEJIA RODRIGUEZ ALFREDO EDUARDO</t>
  </si>
  <si>
    <t>COORDINADOR DE PLANIFICACION DE LA DEMANDA</t>
  </si>
  <si>
    <t>LIMA NIEVES MARIA FERNANDA</t>
  </si>
  <si>
    <t xml:space="preserve">COORDINADOR DE PRODUCCION </t>
  </si>
  <si>
    <t>PEREZ GONZALEZ IXCHEL MAGALI</t>
  </si>
  <si>
    <t>TONIX SASTRE ANAYELI</t>
  </si>
  <si>
    <t>NUÑEZ NERI BRENDA JOVANA</t>
  </si>
  <si>
    <t>COORDINADOR DE TRANSPORTE</t>
  </si>
  <si>
    <t>RANGEL AYALA ALMA</t>
  </si>
  <si>
    <t>PAT HUCHIN MAIRA ALEJANDRA</t>
  </si>
  <si>
    <t>COORDINADOR SAC</t>
  </si>
  <si>
    <t>MORALES QUEZADA PILAR</t>
  </si>
  <si>
    <t>GARCIA PARRA ADRIANA</t>
  </si>
  <si>
    <t>MEDINA ORTEGA ALEJANDRO</t>
  </si>
  <si>
    <t>FITZ BLAS GUSTAVO</t>
  </si>
  <si>
    <t>PADILLA ROLDAN ALMA DELIA</t>
  </si>
  <si>
    <t>ENFERMERIA</t>
  </si>
  <si>
    <t>FELIX RODRIGUEZ CLAUDIA GUADALUPE</t>
  </si>
  <si>
    <t>FACTURADOR</t>
  </si>
  <si>
    <t>GONZALEZ BARCENAS EDUARDO</t>
  </si>
  <si>
    <t>AVILES ESTRELLA DIEGO ARMANDO</t>
  </si>
  <si>
    <t>RIVERA AYALA JORGE</t>
  </si>
  <si>
    <t>GARCIA ROMAN ERIKA</t>
  </si>
  <si>
    <t>GERENTE DE COMPRAS</t>
  </si>
  <si>
    <t>MARTINEZ RAMIREZ RAMON ANDRES</t>
  </si>
  <si>
    <t>GERENTE DE COMPRAS CAFÉ</t>
  </si>
  <si>
    <t>RODRIGUEZ NAVARRETE ARMANDO</t>
  </si>
  <si>
    <t>GERENTE DE MANUFACTURA</t>
  </si>
  <si>
    <t>SUAREZ PONCE GERARDO EMMANUEL</t>
  </si>
  <si>
    <t>GERENTE DE PLANIFICACION LOGISTICA</t>
  </si>
  <si>
    <t>DIAZ RAMIREZ DAVID ARTURO</t>
  </si>
  <si>
    <t>GERENTE PLANEACION DE SUMINISTROS</t>
  </si>
  <si>
    <t>CORTEZ GONZALEZ MA GUADALUPE</t>
  </si>
  <si>
    <t>INSPECTOR DE CALIDAD</t>
  </si>
  <si>
    <t>GONZALEZ HERNANDEZ SANDRA</t>
  </si>
  <si>
    <t>LUNA GARCIA FLORICEL</t>
  </si>
  <si>
    <t>HERNANDEZ GARCIA MARIA WENDI</t>
  </si>
  <si>
    <t>SOSA RIVERA MANUEL</t>
  </si>
  <si>
    <t>INSPECTOR DE PROCESO CAPSULA</t>
  </si>
  <si>
    <t>RODRIGUEZ GARRIDO NORMA JESSENIA</t>
  </si>
  <si>
    <t>CRUZ GALAVIZ JESUS MANUEL</t>
  </si>
  <si>
    <t>JEFE DE BODEGA</t>
  </si>
  <si>
    <t>SANCHEZ OJEDA DIEGO ARMANDO</t>
  </si>
  <si>
    <t>CUAMATZI RODRIGUEZ ODEMARIS LETICIA</t>
  </si>
  <si>
    <t>JEFE DE CALIDAD</t>
  </si>
  <si>
    <t>FERNANDEZ VERGARA RUTH ESMERALDA</t>
  </si>
  <si>
    <t>JEFE DE EXPORTACIONES</t>
  </si>
  <si>
    <t>GARZA BARRON DANIELA CAROLINA</t>
  </si>
  <si>
    <t>JEFE DE LOGISTICA</t>
  </si>
  <si>
    <t>SANCHEZ ILLESCAS MARICRUZ</t>
  </si>
  <si>
    <t>JEFE DE LOGISTICA PRIMARIA</t>
  </si>
  <si>
    <t>PONCE NAVARRO EDUARDO DANIEL</t>
  </si>
  <si>
    <t>JEFE DE MANTENIMIENTO</t>
  </si>
  <si>
    <t>HERRERA VAZQUEZ ALMA DELIA</t>
  </si>
  <si>
    <t>JEFE DE PRODUCCION</t>
  </si>
  <si>
    <t>CALVA RODRIGUEZ OLAYA PRIMAVERA</t>
  </si>
  <si>
    <t>JEFE DE R&amp;D</t>
  </si>
  <si>
    <t>CURIEL SANCHEZ JOAQUIN</t>
  </si>
  <si>
    <t>JEFE DE SAC</t>
  </si>
  <si>
    <t>MEJIA CARRASCO LUIS CARLOS</t>
  </si>
  <si>
    <t>JEFE DE SSO</t>
  </si>
  <si>
    <t>ZAMORA SANTILLO MIGUEL ANGEL</t>
  </si>
  <si>
    <t>LIDER DE GRUPO A</t>
  </si>
  <si>
    <t>TORRES CERVANTES ARMIDA</t>
  </si>
  <si>
    <t>HUERTA ORTEGA VALERIA</t>
  </si>
  <si>
    <t>RODRIGUEZ SANCHEZ MARIA GUADALUPE</t>
  </si>
  <si>
    <t>MARTINEZ GARCIA ANGELES YAMILE</t>
  </si>
  <si>
    <t>AGUILAR HERNANDEZ ROBERTO</t>
  </si>
  <si>
    <t>JIMENEZ MONTIEL JORGE</t>
  </si>
  <si>
    <t>AGUILAR HERNANDEZ CARLOS EDUARDO</t>
  </si>
  <si>
    <t>MARTINEZ REYES ALEXANDER</t>
  </si>
  <si>
    <t>AVALOS RAMIREZ DERECK JOSAHAN</t>
  </si>
  <si>
    <t>SERRANO ROLDAN ELOY</t>
  </si>
  <si>
    <t>LECUONA MEDINA JUAN</t>
  </si>
  <si>
    <t>CARMONA LUNA NATZELANE</t>
  </si>
  <si>
    <t>CARCAÑO GARCIA JOSE ANTONIO</t>
  </si>
  <si>
    <t>VAZQUEZ RAMIREZ JOSE JAVIER</t>
  </si>
  <si>
    <t>PLANIFICADOR DE MANTENIMIENTO</t>
  </si>
  <si>
    <t>GONZALEZ LOPEZ MARIA CANDELARIA</t>
  </si>
  <si>
    <t>SUPERVISOR DE PRODUCCION</t>
  </si>
  <si>
    <t>GONZALEZ FLORES MIGUEL</t>
  </si>
  <si>
    <t>RAMIREZ ALVARADO ANA KAREN</t>
  </si>
  <si>
    <t>TECNICO ADMINISTRATIVO MANUFACTURA</t>
  </si>
  <si>
    <t>RIVERA ANDRIANO LILIANA</t>
  </si>
  <si>
    <t>TECNICO EN LABORATORIO</t>
  </si>
  <si>
    <t>GONZALEZ ZAMORA MONSERRAT</t>
  </si>
  <si>
    <t>TECNICO ESPECIALISTA</t>
  </si>
  <si>
    <t>SANCHEZ LOBATO ADOLFO</t>
  </si>
  <si>
    <t>VAZQUEZ CABRERA ISRAEL</t>
  </si>
  <si>
    <t>TECNICO OPERATIVO SOLUBLES</t>
  </si>
  <si>
    <t>REYES HERNANDEZ DAVID</t>
  </si>
  <si>
    <t>ANALISTA DE CUENTAS POR COBRAR</t>
  </si>
  <si>
    <t xml:space="preserve">MALDONADO PEREZ OSCAR ALEJANDRO </t>
  </si>
  <si>
    <t xml:space="preserve">ANALISTA DE IMPUESTOS </t>
  </si>
  <si>
    <t>URIBE ARELLANO GABRIEL</t>
  </si>
  <si>
    <t>TECNICO EN MANTTO</t>
  </si>
  <si>
    <t>VARGAS GONZALEZ OLIVER</t>
  </si>
  <si>
    <t>ASESOR COMERCIAL FS</t>
  </si>
  <si>
    <t>PACHECO MARTINEZ CESAR</t>
  </si>
  <si>
    <t>RANGEL CABRERA LEOBARDO</t>
  </si>
  <si>
    <t>TORRES SALINAS JOSE</t>
  </si>
  <si>
    <t>TÉCNICO DE SERVICIO</t>
  </si>
  <si>
    <t>GALLEGO SOTO LUIS EUGENIO</t>
  </si>
  <si>
    <t>LEADER MAYOREOFOOD SERVICE</t>
  </si>
  <si>
    <t xml:space="preserve">NAVARRETE GONZALEZ ALEXANDRE </t>
  </si>
  <si>
    <t xml:space="preserve">ESPECIALISTA CONTROL INTERNO </t>
  </si>
  <si>
    <t>ORTIZ ZAMARRIPA OSCAR OMAR</t>
  </si>
  <si>
    <t>PROMOTOR</t>
  </si>
  <si>
    <t>ORTIZ GALLEGOS EDUARDO DANIEL</t>
  </si>
  <si>
    <t>CHACON LOPEZ MARCELA</t>
  </si>
  <si>
    <t>ESPECIALISTA DE COMPRAS</t>
  </si>
  <si>
    <t>RICOY CARRASCO SEBASTIAN</t>
  </si>
  <si>
    <t xml:space="preserve">ANALISTA DE LEGAL </t>
  </si>
  <si>
    <t>PALACIOS MENDEZ ISRAEL</t>
  </si>
  <si>
    <t>PROGRAMADOR SR</t>
  </si>
  <si>
    <t>CLAVE</t>
  </si>
  <si>
    <t>Puesto</t>
  </si>
  <si>
    <t>NOLASCO ALFARO FABIOLA CELESTE</t>
  </si>
  <si>
    <t>PEREZ MAYORGA LIZETT CITLALI</t>
  </si>
  <si>
    <t>PADRON CASTRO ABRAHAM ISAIAS</t>
  </si>
  <si>
    <t>DIRECTOR DE SUPPLY CHAIN</t>
  </si>
  <si>
    <t>GOMEZ PINZON ALBIN SAMUEL</t>
  </si>
  <si>
    <t>GERENTE DE G&amp;G</t>
  </si>
  <si>
    <t>QUEZADA MENDEZ EDUARDO DANIEL</t>
  </si>
  <si>
    <t>GERENTE DE REVENUE /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</si>
</sst>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rgb="FFFFFFFF"/>
      <name val="Century Gothic"/>
      <family val="2"/>
    </font>
    <font>
      <sz val="8"/>
      <color rgb="FF44546A"/>
      <name val="Century Gothic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</fills>
  <borders count="4">
    <border>
      <left/>
      <right/>
      <top/>
      <bottom/>
      <diagonal/>
    </border>
    <border>
      <left style="thin">
        <color rgb="FF757171"/>
      </left>
      <right style="thin">
        <color rgb="FF757171"/>
      </right>
      <top style="thin">
        <color rgb="FF757171"/>
      </top>
      <bottom/>
      <diagonal/>
    </border>
    <border>
      <left style="thin">
        <color rgb="FF757171"/>
      </left>
      <right style="thin">
        <color rgb="FF75717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4" fillId="0" borderId="0" xfId="0" applyFont="1"/>
  </cellXfs>
  <cellStyles count="2">
    <cellStyle name="Cancel" xfId="1" xr:uid="{FC49D740-432D-4EF2-9A8B-061B17D1C051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EB48F0-93F4-46CE-96AF-B8369839CE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a4c3542-b5c5-47a6-9923-65b0a078841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tabSelected="1" topLeftCell="A210" zoomScale="50" workbookViewId="0">
      <selection activeCell="L262" sqref="L262"/>
    </sheetView>
  </sheetViews>
  <sheetFormatPr baseColWidth="10" defaultRowHeight="15.5" x14ac:dyDescent="0.35"/>
  <cols>
    <col min="2" max="2" width="38.9140625" bestFit="1" customWidth="1"/>
    <col min="3" max="3" width="23.4140625" bestFit="1" customWidth="1"/>
    <col min="4" max="4" width="16.4140625" bestFit="1" customWidth="1"/>
    <col min="5" max="5" width="37.4140625" bestFit="1" customWidth="1"/>
    <col min="6" max="6" width="23.4140625" bestFit="1" customWidth="1"/>
    <col min="7" max="7" width="22.75" bestFit="1" customWidth="1"/>
    <col min="8" max="8" width="15.4140625" bestFit="1" customWidth="1"/>
    <col min="9" max="9" width="12.58203125" bestFit="1" customWidth="1"/>
    <col min="10" max="10" width="11.58203125" bestFit="1" customWidth="1"/>
    <col min="12" max="12" width="50.41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1446</v>
      </c>
    </row>
    <row r="2" spans="1:12" x14ac:dyDescent="0.35">
      <c r="A2">
        <v>10001</v>
      </c>
      <c r="B2" t="s">
        <v>117</v>
      </c>
      <c r="C2" t="s">
        <v>742</v>
      </c>
      <c r="D2" t="s">
        <v>438</v>
      </c>
      <c r="E2" t="s">
        <v>21</v>
      </c>
      <c r="F2" t="s">
        <v>657</v>
      </c>
      <c r="G2" t="s">
        <v>670</v>
      </c>
      <c r="H2" t="s">
        <v>12</v>
      </c>
      <c r="I2">
        <v>52</v>
      </c>
      <c r="J2" s="1" t="s">
        <v>824</v>
      </c>
      <c r="L2" t="str">
        <f>IF($B2="","",IFERROR(_xlfn.XLOOKUP(_xlfn.TEXTJOIN(" ",TRUE,_xlfn._xlws.SORT(_xlfn.TEXTSPLIT(TRIM(UPPER($B2))," ",,TRUE),1,1,TRUE)),puestos!$C$2:$C$324,puestos!$B$2:$B$324),"SIN PUESTO"))</f>
        <v>COORDINADOR CUENTAS POR COBRAR</v>
      </c>
    </row>
    <row r="3" spans="1:12" x14ac:dyDescent="0.35">
      <c r="A3">
        <v>10002</v>
      </c>
      <c r="B3" t="s">
        <v>118</v>
      </c>
      <c r="D3" t="s">
        <v>439</v>
      </c>
      <c r="E3" t="s">
        <v>124</v>
      </c>
      <c r="F3" t="s">
        <v>660</v>
      </c>
      <c r="G3" t="s">
        <v>679</v>
      </c>
      <c r="H3" t="s">
        <v>823</v>
      </c>
      <c r="I3">
        <v>58</v>
      </c>
      <c r="J3" s="1" t="s">
        <v>825</v>
      </c>
      <c r="L3" t="str">
        <f>IF($B3="","",IFERROR(_xlfn.XLOOKUP(_xlfn.TEXTJOIN(" ",TRUE,_xlfn._xlws.SORT(_xlfn.TEXTSPLIT(TRIM(UPPER($B3))," ",,TRUE),1,1,TRUE)),puestos!$C$2:$C$324,puestos!$B$2:$B$324),"SIN PUESTO"))</f>
        <v>AUXILIAR DE MANTENIMIENTO</v>
      </c>
    </row>
    <row r="4" spans="1:12" x14ac:dyDescent="0.35">
      <c r="A4">
        <v>10003</v>
      </c>
      <c r="B4" t="s">
        <v>119</v>
      </c>
      <c r="D4" t="s">
        <v>440</v>
      </c>
      <c r="E4" t="s">
        <v>124</v>
      </c>
      <c r="F4" t="s">
        <v>658</v>
      </c>
      <c r="G4" t="s">
        <v>679</v>
      </c>
      <c r="H4" t="s">
        <v>823</v>
      </c>
      <c r="I4">
        <v>48</v>
      </c>
      <c r="J4" s="1" t="s">
        <v>826</v>
      </c>
      <c r="L4" t="str">
        <f>IF($B4="","",IFERROR(_xlfn.XLOOKUP(_xlfn.TEXTJOIN(" ",TRUE,_xlfn._xlws.SORT(_xlfn.TEXTSPLIT(TRIM(UPPER($B4))," ",,TRUE),1,1,TRUE)),puestos!$C$2:$C$324,puestos!$B$2:$B$324),"SIN PUESTO"))</f>
        <v>AUXILIAR DE INFRAESTRUCTURA</v>
      </c>
    </row>
    <row r="5" spans="1:12" x14ac:dyDescent="0.35">
      <c r="A5">
        <v>10004</v>
      </c>
      <c r="B5" t="s">
        <v>120</v>
      </c>
      <c r="C5" t="s">
        <v>743</v>
      </c>
      <c r="D5" t="s">
        <v>441</v>
      </c>
      <c r="E5" t="s">
        <v>62</v>
      </c>
      <c r="F5" t="s">
        <v>657</v>
      </c>
      <c r="G5" t="s">
        <v>675</v>
      </c>
      <c r="H5" t="s">
        <v>12</v>
      </c>
      <c r="I5">
        <v>70</v>
      </c>
      <c r="J5" s="1" t="s">
        <v>827</v>
      </c>
      <c r="L5" t="str">
        <f>IF($B5="","",IFERROR(_xlfn.XLOOKUP(_xlfn.TEXTJOIN(" ",TRUE,_xlfn._xlws.SORT(_xlfn.TEXTSPLIT(TRIM(UPPER($B5))," ",,TRUE),1,1,TRUE)),puestos!$C$2:$C$324,puestos!$B$2:$B$324),"SIN PUESTO"))</f>
        <v>ANALISTA CONTABLE</v>
      </c>
    </row>
    <row r="6" spans="1:12" x14ac:dyDescent="0.35">
      <c r="A6">
        <v>10005</v>
      </c>
      <c r="B6" t="s">
        <v>121</v>
      </c>
      <c r="C6" t="s">
        <v>744</v>
      </c>
      <c r="D6" t="s">
        <v>442</v>
      </c>
      <c r="E6" t="s">
        <v>62</v>
      </c>
      <c r="F6" t="s">
        <v>657</v>
      </c>
      <c r="G6" t="s">
        <v>675</v>
      </c>
      <c r="H6" t="s">
        <v>12</v>
      </c>
      <c r="I6">
        <v>36</v>
      </c>
      <c r="J6" s="1" t="s">
        <v>828</v>
      </c>
      <c r="L6" t="str">
        <f>IF($B6="","",IFERROR(_xlfn.XLOOKUP(_xlfn.TEXTJOIN(" ",TRUE,_xlfn._xlws.SORT(_xlfn.TEXTSPLIT(TRIM(UPPER($B6))," ",,TRUE),1,1,TRUE)),puestos!$C$2:$C$324,puestos!$B$2:$B$324),"SIN PUESTO"))</f>
        <v>ANALISTA CONTABLE</v>
      </c>
    </row>
    <row r="7" spans="1:12" x14ac:dyDescent="0.35">
      <c r="A7">
        <v>10006</v>
      </c>
      <c r="B7" t="s">
        <v>122</v>
      </c>
      <c r="C7" t="s">
        <v>745</v>
      </c>
      <c r="D7" t="s">
        <v>443</v>
      </c>
      <c r="E7" t="s">
        <v>210</v>
      </c>
      <c r="F7" t="s">
        <v>658</v>
      </c>
      <c r="G7" t="s">
        <v>668</v>
      </c>
      <c r="H7" t="s">
        <v>12</v>
      </c>
      <c r="I7">
        <v>35</v>
      </c>
      <c r="J7" s="1" t="s">
        <v>829</v>
      </c>
      <c r="L7" t="str">
        <f>IF($B7="","",IFERROR(_xlfn.XLOOKUP(_xlfn.TEXTJOIN(" ",TRUE,_xlfn._xlws.SORT(_xlfn.TEXTSPLIT(TRIM(UPPER($B7))," ",,TRUE),1,1,TRUE)),puestos!$C$2:$C$324,puestos!$B$2:$B$324),"SIN PUESTO"))</f>
        <v>ESPECIALISTA CONTABLE</v>
      </c>
    </row>
    <row r="8" spans="1:12" x14ac:dyDescent="0.35">
      <c r="A8">
        <v>10007</v>
      </c>
      <c r="B8" t="s">
        <v>123</v>
      </c>
      <c r="C8" t="s">
        <v>746</v>
      </c>
      <c r="D8" t="s">
        <v>444</v>
      </c>
      <c r="E8" t="s">
        <v>88</v>
      </c>
      <c r="F8" t="s">
        <v>658</v>
      </c>
      <c r="G8" t="s">
        <v>667</v>
      </c>
      <c r="H8" t="s">
        <v>12</v>
      </c>
      <c r="I8">
        <v>48</v>
      </c>
      <c r="J8" s="1" t="s">
        <v>830</v>
      </c>
      <c r="L8" t="str">
        <f>IF($B8="","",IFERROR(_xlfn.XLOOKUP(_xlfn.TEXTJOIN(" ",TRUE,_xlfn._xlws.SORT(_xlfn.TEXTSPLIT(TRIM(UPPER($B8))," ",,TRUE),1,1,TRUE)),puestos!$C$2:$C$324,puestos!$B$2:$B$324),"SIN PUESTO"))</f>
        <v>COORDINADOR SAC</v>
      </c>
    </row>
    <row r="9" spans="1:12" x14ac:dyDescent="0.35">
      <c r="A9">
        <v>10008</v>
      </c>
      <c r="B9" t="s">
        <v>124</v>
      </c>
      <c r="C9" t="s">
        <v>747</v>
      </c>
      <c r="D9" t="s">
        <v>445</v>
      </c>
      <c r="E9" t="s">
        <v>333</v>
      </c>
      <c r="F9" t="s">
        <v>659</v>
      </c>
      <c r="G9" t="s">
        <v>671</v>
      </c>
      <c r="H9" t="s">
        <v>12</v>
      </c>
      <c r="I9">
        <v>50</v>
      </c>
      <c r="J9" s="1" t="s">
        <v>831</v>
      </c>
      <c r="L9" t="str">
        <f>IF($B9="","",IFERROR(_xlfn.XLOOKUP(_xlfn.TEXTJOIN(" ",TRUE,_xlfn._xlws.SORT(_xlfn.TEXTSPLIT(TRIM(UPPER($B9))," ",,TRUE),1,1,TRUE)),puestos!$C$2:$C$324,puestos!$B$2:$B$324),"SIN PUESTO"))</f>
        <v>ANALISTA DE SERVICIOS GENERALES</v>
      </c>
    </row>
    <row r="10" spans="1:12" x14ac:dyDescent="0.35">
      <c r="A10">
        <v>10009</v>
      </c>
      <c r="B10" t="s">
        <v>125</v>
      </c>
      <c r="C10" t="s">
        <v>748</v>
      </c>
      <c r="D10" t="s">
        <v>446</v>
      </c>
      <c r="E10" t="s">
        <v>333</v>
      </c>
      <c r="F10" t="s">
        <v>659</v>
      </c>
      <c r="G10" t="s">
        <v>680</v>
      </c>
      <c r="H10" t="s">
        <v>12</v>
      </c>
      <c r="I10">
        <v>61</v>
      </c>
      <c r="J10" s="1" t="s">
        <v>832</v>
      </c>
      <c r="K10" t="s">
        <v>1008</v>
      </c>
      <c r="L10" t="str">
        <f>IF($B10="","",IFERROR(_xlfn.XLOOKUP(_xlfn.TEXTJOIN(" ",TRUE,_xlfn._xlws.SORT(_xlfn.TEXTSPLIT(TRIM(UPPER($B10))," ",,TRUE),1,1,TRUE)),puestos!$C$2:$C$324,puestos!$B$2:$B$324),"SIN PUESTO"))</f>
        <v>JEFE DE G&amp;G</v>
      </c>
    </row>
    <row r="11" spans="1:12" x14ac:dyDescent="0.35">
      <c r="A11">
        <v>10010</v>
      </c>
      <c r="B11" t="s">
        <v>126</v>
      </c>
      <c r="C11" t="s">
        <v>749</v>
      </c>
      <c r="D11" t="s">
        <v>447</v>
      </c>
      <c r="E11" t="s">
        <v>189</v>
      </c>
      <c r="F11" t="s">
        <v>660</v>
      </c>
      <c r="G11" t="s">
        <v>681</v>
      </c>
      <c r="H11" t="s">
        <v>12</v>
      </c>
      <c r="I11">
        <v>42</v>
      </c>
      <c r="J11" s="1" t="s">
        <v>833</v>
      </c>
      <c r="L11" t="str">
        <f>IF($B11="","",IFERROR(_xlfn.XLOOKUP(_xlfn.TEXTJOIN(" ",TRUE,_xlfn._xlws.SORT(_xlfn.TEXTSPLIT(TRIM(UPPER($B11))," ",,TRUE),1,1,TRUE)),puestos!$C$2:$C$324,puestos!$B$2:$B$324),"SIN PUESTO"))</f>
        <v>JEFE DE PRODUCCION</v>
      </c>
    </row>
    <row r="12" spans="1:12" x14ac:dyDescent="0.35">
      <c r="A12">
        <v>10011</v>
      </c>
      <c r="B12" t="s">
        <v>127</v>
      </c>
      <c r="C12" t="s">
        <v>750</v>
      </c>
      <c r="D12" t="s">
        <v>448</v>
      </c>
      <c r="E12" t="s">
        <v>653</v>
      </c>
      <c r="F12" t="s">
        <v>663</v>
      </c>
      <c r="G12" t="s">
        <v>682</v>
      </c>
      <c r="H12" t="s">
        <v>12</v>
      </c>
      <c r="I12">
        <v>44</v>
      </c>
      <c r="J12" s="1" t="s">
        <v>834</v>
      </c>
      <c r="L12" t="str">
        <f>IF($B12="","",IFERROR(_xlfn.XLOOKUP(_xlfn.TEXTJOIN(" ",TRUE,_xlfn._xlws.SORT(_xlfn.TEXTSPLIT(TRIM(UPPER($B12))," ",,TRUE),1,1,TRUE)),puestos!$C$2:$C$324,puestos!$B$2:$B$324),"SIN PUESTO"))</f>
        <v>JEFE DE SOSTENIBILIDAD</v>
      </c>
    </row>
    <row r="13" spans="1:12" x14ac:dyDescent="0.35">
      <c r="A13">
        <v>10012</v>
      </c>
      <c r="B13" t="s">
        <v>128</v>
      </c>
      <c r="C13" t="s">
        <v>751</v>
      </c>
      <c r="D13" t="s">
        <v>449</v>
      </c>
      <c r="E13" t="s">
        <v>141</v>
      </c>
      <c r="F13" t="s">
        <v>658</v>
      </c>
      <c r="G13" t="s">
        <v>668</v>
      </c>
      <c r="H13" t="s">
        <v>12</v>
      </c>
      <c r="I13">
        <v>34</v>
      </c>
      <c r="J13" s="1" t="s">
        <v>835</v>
      </c>
      <c r="L13" t="str">
        <f>IF($B13="","",IFERROR(_xlfn.XLOOKUP(_xlfn.TEXTJOIN(" ",TRUE,_xlfn._xlws.SORT(_xlfn.TEXTSPLIT(TRIM(UPPER($B13))," ",,TRUE),1,1,TRUE)),puestos!$C$2:$C$324,puestos!$B$2:$B$324),"SIN PUESTO"))</f>
        <v>COORDINADOR DE BODEGA</v>
      </c>
    </row>
    <row r="14" spans="1:12" x14ac:dyDescent="0.35">
      <c r="A14">
        <v>10013</v>
      </c>
      <c r="B14" t="s">
        <v>129</v>
      </c>
      <c r="D14" t="s">
        <v>450</v>
      </c>
      <c r="E14" t="s">
        <v>124</v>
      </c>
      <c r="F14" t="s">
        <v>658</v>
      </c>
      <c r="G14" t="s">
        <v>683</v>
      </c>
      <c r="H14" t="s">
        <v>823</v>
      </c>
      <c r="I14">
        <v>27</v>
      </c>
      <c r="J14" s="1" t="s">
        <v>836</v>
      </c>
      <c r="L14" t="str">
        <f>IF($B14="","",IFERROR(_xlfn.XLOOKUP(_xlfn.TEXTJOIN(" ",TRUE,_xlfn._xlws.SORT(_xlfn.TEXTSPLIT(TRIM(UPPER($B14))," ",,TRUE),1,1,TRUE)),puestos!$C$2:$C$324,puestos!$B$2:$B$324),"SIN PUESTO"))</f>
        <v>AUXILIAR DE LIMPIEZA</v>
      </c>
    </row>
    <row r="15" spans="1:12" x14ac:dyDescent="0.35">
      <c r="A15">
        <v>10014</v>
      </c>
      <c r="B15" t="s">
        <v>130</v>
      </c>
      <c r="C15" t="s">
        <v>752</v>
      </c>
      <c r="D15" t="s">
        <v>451</v>
      </c>
      <c r="E15" t="s">
        <v>88</v>
      </c>
      <c r="F15" t="s">
        <v>658</v>
      </c>
      <c r="G15" t="s">
        <v>667</v>
      </c>
      <c r="H15" t="s">
        <v>12</v>
      </c>
      <c r="I15">
        <v>44</v>
      </c>
      <c r="J15" s="1" t="s">
        <v>837</v>
      </c>
      <c r="L15" t="str">
        <f>IF($B15="","",IFERROR(_xlfn.XLOOKUP(_xlfn.TEXTJOIN(" ",TRUE,_xlfn._xlws.SORT(_xlfn.TEXTSPLIT(TRIM(UPPER($B15))," ",,TRUE),1,1,TRUE)),puestos!$C$2:$C$324,puestos!$B$2:$B$324),"SIN PUESTO"))</f>
        <v>COORDINADOR SAC</v>
      </c>
    </row>
    <row r="16" spans="1:12" x14ac:dyDescent="0.35">
      <c r="A16">
        <v>10015</v>
      </c>
      <c r="B16" t="s">
        <v>131</v>
      </c>
      <c r="C16" t="s">
        <v>753</v>
      </c>
      <c r="D16" t="s">
        <v>452</v>
      </c>
      <c r="E16" t="s">
        <v>196</v>
      </c>
      <c r="F16" t="s">
        <v>664</v>
      </c>
      <c r="G16" t="s">
        <v>664</v>
      </c>
      <c r="H16" t="s">
        <v>12</v>
      </c>
      <c r="I16">
        <v>24</v>
      </c>
      <c r="J16" s="1" t="s">
        <v>838</v>
      </c>
      <c r="L16" t="str">
        <f>IF($B16="","",IFERROR(_xlfn.XLOOKUP(_xlfn.TEXTJOIN(" ",TRUE,_xlfn._xlws.SORT(_xlfn.TEXTSPLIT(TRIM(UPPER($B16))," ",,TRUE),1,1,TRUE)),puestos!$C$2:$C$324,puestos!$B$2:$B$324),"SIN PUESTO"))</f>
        <v>ESPECIALISTA DE MARKETING</v>
      </c>
    </row>
    <row r="17" spans="1:12" x14ac:dyDescent="0.35">
      <c r="A17">
        <v>10016</v>
      </c>
      <c r="B17" t="s">
        <v>132</v>
      </c>
      <c r="D17" t="s">
        <v>453</v>
      </c>
      <c r="E17" t="s">
        <v>26</v>
      </c>
      <c r="F17" t="s">
        <v>658</v>
      </c>
      <c r="G17" t="s">
        <v>668</v>
      </c>
      <c r="H17" t="s">
        <v>823</v>
      </c>
      <c r="I17">
        <v>30</v>
      </c>
      <c r="J17" s="1" t="s">
        <v>839</v>
      </c>
      <c r="L17" t="str">
        <f>IF($B17="","",IFERROR(_xlfn.XLOOKUP(_xlfn.TEXTJOIN(" ",TRUE,_xlfn._xlws.SORT(_xlfn.TEXTSPLIT(TRIM(UPPER($B17))," ",,TRUE),1,1,TRUE)),puestos!$C$2:$C$324,puestos!$B$2:$B$324),"SIN PUESTO"))</f>
        <v>CHOFER</v>
      </c>
    </row>
    <row r="18" spans="1:12" x14ac:dyDescent="0.35">
      <c r="A18">
        <v>10017</v>
      </c>
      <c r="B18" t="s">
        <v>133</v>
      </c>
      <c r="C18" t="s">
        <v>754</v>
      </c>
      <c r="D18" t="s">
        <v>454</v>
      </c>
      <c r="E18" t="s">
        <v>201</v>
      </c>
      <c r="F18" t="s">
        <v>656</v>
      </c>
      <c r="G18" t="s">
        <v>656</v>
      </c>
      <c r="H18" t="s">
        <v>12</v>
      </c>
      <c r="I18">
        <v>38</v>
      </c>
      <c r="J18" s="1" t="s">
        <v>840</v>
      </c>
      <c r="L18" t="str">
        <f>IF($B18="","",IFERROR(_xlfn.XLOOKUP(_xlfn.TEXTJOIN(" ",TRUE,_xlfn._xlws.SORT(_xlfn.TEXTSPLIT(TRIM(UPPER($B18))," ",,TRUE),1,1,TRUE)),puestos!$C$2:$C$324,puestos!$B$2:$B$324),"SIN PUESTO"))</f>
        <v>GERENTE COMERCIAL</v>
      </c>
    </row>
    <row r="19" spans="1:12" x14ac:dyDescent="0.35">
      <c r="A19">
        <v>10018</v>
      </c>
      <c r="B19" t="s">
        <v>134</v>
      </c>
      <c r="D19" t="s">
        <v>455</v>
      </c>
      <c r="E19" t="s">
        <v>141</v>
      </c>
      <c r="F19" t="s">
        <v>658</v>
      </c>
      <c r="G19" t="s">
        <v>668</v>
      </c>
      <c r="H19" t="s">
        <v>823</v>
      </c>
      <c r="I19">
        <v>44</v>
      </c>
      <c r="J19" s="1" t="s">
        <v>841</v>
      </c>
      <c r="L19" t="str">
        <f>IF($B19="","",IFERROR(_xlfn.XLOOKUP(_xlfn.TEXTJOIN(" ",TRUE,_xlfn._xlws.SORT(_xlfn.TEXTSPLIT(TRIM(UPPER($B19))," ",,TRUE),1,1,TRUE)),puestos!$C$2:$C$324,puestos!$B$2:$B$324),"SIN PUESTO"))</f>
        <v>AUXILIAR DE BODEGA</v>
      </c>
    </row>
    <row r="20" spans="1:12" x14ac:dyDescent="0.35">
      <c r="A20">
        <v>10019</v>
      </c>
      <c r="B20" t="s">
        <v>135</v>
      </c>
      <c r="C20" t="s">
        <v>755</v>
      </c>
      <c r="D20" t="s">
        <v>456</v>
      </c>
      <c r="E20" t="s">
        <v>26</v>
      </c>
      <c r="F20" t="s">
        <v>658</v>
      </c>
      <c r="G20" t="s">
        <v>668</v>
      </c>
      <c r="H20" t="s">
        <v>12</v>
      </c>
      <c r="I20">
        <v>44</v>
      </c>
      <c r="J20" s="1" t="s">
        <v>842</v>
      </c>
      <c r="L20" t="str">
        <f>IF($B20="","",IFERROR(_xlfn.XLOOKUP(_xlfn.TEXTJOIN(" ",TRUE,_xlfn._xlws.SORT(_xlfn.TEXTSPLIT(TRIM(UPPER($B20))," ",,TRUE),1,1,TRUE)),puestos!$C$2:$C$324,puestos!$B$2:$B$324),"SIN PUESTO"))</f>
        <v>COORDINADOR DE TRANSPORTE</v>
      </c>
    </row>
    <row r="21" spans="1:12" x14ac:dyDescent="0.35">
      <c r="A21">
        <v>10020</v>
      </c>
      <c r="B21" t="s">
        <v>136</v>
      </c>
      <c r="C21" t="s">
        <v>756</v>
      </c>
      <c r="D21" t="s">
        <v>457</v>
      </c>
      <c r="E21" t="s">
        <v>88</v>
      </c>
      <c r="F21" t="s">
        <v>658</v>
      </c>
      <c r="G21" t="s">
        <v>667</v>
      </c>
      <c r="H21" t="s">
        <v>12</v>
      </c>
      <c r="I21">
        <v>44</v>
      </c>
      <c r="J21" s="1" t="s">
        <v>843</v>
      </c>
      <c r="L21" t="str">
        <f>IF($B21="","",IFERROR(_xlfn.XLOOKUP(_xlfn.TEXTJOIN(" ",TRUE,_xlfn._xlws.SORT(_xlfn.TEXTSPLIT(TRIM(UPPER($B21))," ",,TRUE),1,1,TRUE)),puestos!$C$2:$C$324,puestos!$B$2:$B$324),"SIN PUESTO"))</f>
        <v>COORDINADOR SAC</v>
      </c>
    </row>
    <row r="22" spans="1:12" x14ac:dyDescent="0.35">
      <c r="A22">
        <v>10021</v>
      </c>
      <c r="B22" t="s">
        <v>137</v>
      </c>
      <c r="D22" t="s">
        <v>458</v>
      </c>
      <c r="E22" t="s">
        <v>26</v>
      </c>
      <c r="F22" t="s">
        <v>658</v>
      </c>
      <c r="G22" t="s">
        <v>668</v>
      </c>
      <c r="H22" t="s">
        <v>823</v>
      </c>
      <c r="I22">
        <v>44</v>
      </c>
      <c r="J22" s="1" t="s">
        <v>844</v>
      </c>
      <c r="L22" t="str">
        <f>IF($B22="","",IFERROR(_xlfn.XLOOKUP(_xlfn.TEXTJOIN(" ",TRUE,_xlfn._xlws.SORT(_xlfn.TEXTSPLIT(TRIM(UPPER($B22))," ",,TRUE),1,1,TRUE)),puestos!$C$2:$C$324,puestos!$B$2:$B$324),"SIN PUESTO"))</f>
        <v>CHOFER</v>
      </c>
    </row>
    <row r="23" spans="1:12" x14ac:dyDescent="0.35">
      <c r="A23">
        <v>10022</v>
      </c>
      <c r="B23" t="s">
        <v>138</v>
      </c>
      <c r="D23" t="s">
        <v>459</v>
      </c>
      <c r="E23" t="s">
        <v>26</v>
      </c>
      <c r="F23" t="s">
        <v>658</v>
      </c>
      <c r="G23" t="s">
        <v>668</v>
      </c>
      <c r="H23" t="s">
        <v>823</v>
      </c>
      <c r="I23">
        <v>37</v>
      </c>
      <c r="J23" s="1" t="s">
        <v>845</v>
      </c>
      <c r="L23" t="str">
        <f>IF($B23="","",IFERROR(_xlfn.XLOOKUP(_xlfn.TEXTJOIN(" ",TRUE,_xlfn._xlws.SORT(_xlfn.TEXTSPLIT(TRIM(UPPER($B23))," ",,TRUE),1,1,TRUE)),puestos!$C$2:$C$324,puestos!$B$2:$B$324),"SIN PUESTO"))</f>
        <v>CHOFER</v>
      </c>
    </row>
    <row r="24" spans="1:12" x14ac:dyDescent="0.35">
      <c r="A24">
        <v>10023</v>
      </c>
      <c r="B24" t="s">
        <v>139</v>
      </c>
      <c r="C24" t="s">
        <v>757</v>
      </c>
      <c r="D24" t="s">
        <v>460</v>
      </c>
      <c r="E24" t="s">
        <v>62</v>
      </c>
      <c r="F24" t="s">
        <v>657</v>
      </c>
      <c r="G24" t="s">
        <v>675</v>
      </c>
      <c r="H24" t="s">
        <v>12</v>
      </c>
      <c r="I24">
        <v>44</v>
      </c>
      <c r="J24" s="1" t="s">
        <v>846</v>
      </c>
      <c r="L24" t="str">
        <f>IF($B24="","",IFERROR(_xlfn.XLOOKUP(_xlfn.TEXTJOIN(" ",TRUE,_xlfn._xlws.SORT(_xlfn.TEXTSPLIT(TRIM(UPPER($B24))," ",,TRUE),1,1,TRUE)),puestos!$C$2:$C$324,puestos!$B$2:$B$324),"SIN PUESTO"))</f>
        <v>ANALISTA CONTABLE</v>
      </c>
    </row>
    <row r="25" spans="1:12" x14ac:dyDescent="0.35">
      <c r="A25">
        <v>10024</v>
      </c>
      <c r="B25" t="s">
        <v>140</v>
      </c>
      <c r="C25" t="s">
        <v>758</v>
      </c>
      <c r="D25" t="s">
        <v>461</v>
      </c>
      <c r="E25" t="s">
        <v>62</v>
      </c>
      <c r="F25" t="s">
        <v>657</v>
      </c>
      <c r="G25" t="s">
        <v>675</v>
      </c>
      <c r="H25" t="s">
        <v>12</v>
      </c>
      <c r="I25">
        <v>33</v>
      </c>
      <c r="J25" s="1" t="s">
        <v>847</v>
      </c>
      <c r="L25" t="str">
        <f>IF($B25="","",IFERROR(_xlfn.XLOOKUP(_xlfn.TEXTJOIN(" ",TRUE,_xlfn._xlws.SORT(_xlfn.TEXTSPLIT(TRIM(UPPER($B25))," ",,TRUE),1,1,TRUE)),puestos!$C$2:$C$324,puestos!$B$2:$B$324),"SIN PUESTO"))</f>
        <v>COORDINADOR CONTABLE</v>
      </c>
    </row>
    <row r="26" spans="1:12" x14ac:dyDescent="0.35">
      <c r="A26">
        <v>10025</v>
      </c>
      <c r="B26" t="s">
        <v>141</v>
      </c>
      <c r="C26" t="s">
        <v>759</v>
      </c>
      <c r="D26" t="s">
        <v>462</v>
      </c>
      <c r="E26" t="s">
        <v>174</v>
      </c>
      <c r="F26" t="s">
        <v>658</v>
      </c>
      <c r="G26" t="s">
        <v>668</v>
      </c>
      <c r="H26" t="s">
        <v>12</v>
      </c>
      <c r="I26">
        <v>37</v>
      </c>
      <c r="J26" s="1" t="s">
        <v>847</v>
      </c>
      <c r="L26" t="str">
        <f>IF($B26="","",IFERROR(_xlfn.XLOOKUP(_xlfn.TEXTJOIN(" ",TRUE,_xlfn._xlws.SORT(_xlfn.TEXTSPLIT(TRIM(UPPER($B26))," ",,TRUE),1,1,TRUE)),puestos!$C$2:$C$324,puestos!$B$2:$B$324),"SIN PUESTO"))</f>
        <v>JEFE DE BODEGA</v>
      </c>
    </row>
    <row r="27" spans="1:12" x14ac:dyDescent="0.35">
      <c r="A27">
        <v>10026</v>
      </c>
      <c r="B27" t="s">
        <v>142</v>
      </c>
      <c r="C27" t="s">
        <v>760</v>
      </c>
      <c r="D27" t="s">
        <v>463</v>
      </c>
      <c r="E27" t="s">
        <v>21</v>
      </c>
      <c r="F27" t="s">
        <v>657</v>
      </c>
      <c r="G27" t="s">
        <v>670</v>
      </c>
      <c r="H27" t="s">
        <v>12</v>
      </c>
      <c r="I27">
        <v>64</v>
      </c>
      <c r="J27" s="1" t="s">
        <v>848</v>
      </c>
      <c r="L27" t="str">
        <f>IF($B27="","",IFERROR(_xlfn.XLOOKUP(_xlfn.TEXTJOIN(" ",TRUE,_xlfn._xlws.SORT(_xlfn.TEXTSPLIT(TRIM(UPPER($B27))," ",,TRUE),1,1,TRUE)),puestos!$C$2:$C$324,puestos!$B$2:$B$324),"SIN PUESTO"))</f>
        <v>ANALISTA CUENTAS POR PAGAR</v>
      </c>
    </row>
    <row r="28" spans="1:12" x14ac:dyDescent="0.35">
      <c r="A28">
        <v>10027</v>
      </c>
      <c r="B28" t="s">
        <v>143</v>
      </c>
      <c r="C28" t="s">
        <v>761</v>
      </c>
      <c r="D28" t="s">
        <v>464</v>
      </c>
      <c r="E28" t="s">
        <v>36</v>
      </c>
      <c r="F28" t="s">
        <v>659</v>
      </c>
      <c r="G28" t="s">
        <v>671</v>
      </c>
      <c r="H28" t="s">
        <v>12</v>
      </c>
      <c r="I28">
        <v>19</v>
      </c>
      <c r="J28" s="1" t="s">
        <v>849</v>
      </c>
      <c r="L28" t="str">
        <f>IF($B28="","",IFERROR(_xlfn.XLOOKUP(_xlfn.TEXTJOIN(" ",TRUE,_xlfn._xlws.SORT(_xlfn.TEXTSPLIT(TRIM(UPPER($B28))," ",,TRUE),1,1,TRUE)),puestos!$C$2:$C$324,puestos!$B$2:$B$324),"SIN PUESTO"))</f>
        <v>COORDINADOR DE NOMINA</v>
      </c>
    </row>
    <row r="29" spans="1:12" x14ac:dyDescent="0.35">
      <c r="A29">
        <v>10028</v>
      </c>
      <c r="B29" t="s">
        <v>144</v>
      </c>
      <c r="D29" t="s">
        <v>465</v>
      </c>
      <c r="E29" t="s">
        <v>141</v>
      </c>
      <c r="F29" t="s">
        <v>658</v>
      </c>
      <c r="G29" t="s">
        <v>668</v>
      </c>
      <c r="H29" t="s">
        <v>823</v>
      </c>
      <c r="I29">
        <v>29</v>
      </c>
      <c r="J29" s="1" t="s">
        <v>850</v>
      </c>
      <c r="L29" t="str">
        <f>IF($B29="","",IFERROR(_xlfn.XLOOKUP(_xlfn.TEXTJOIN(" ",TRUE,_xlfn._xlws.SORT(_xlfn.TEXTSPLIT(TRIM(UPPER($B29))," ",,TRUE),1,1,TRUE)),puestos!$C$2:$C$324,puestos!$B$2:$B$324),"SIN PUESTO"))</f>
        <v>AUXILIAR DE BODEGA</v>
      </c>
    </row>
    <row r="30" spans="1:12" x14ac:dyDescent="0.35">
      <c r="A30">
        <v>10029</v>
      </c>
      <c r="B30" t="s">
        <v>145</v>
      </c>
      <c r="C30" t="s">
        <v>762</v>
      </c>
      <c r="D30" t="s">
        <v>466</v>
      </c>
      <c r="E30" t="s">
        <v>36</v>
      </c>
      <c r="F30" t="s">
        <v>659</v>
      </c>
      <c r="G30" t="s">
        <v>671</v>
      </c>
      <c r="H30" t="s">
        <v>12</v>
      </c>
      <c r="I30">
        <v>22</v>
      </c>
      <c r="J30" s="1" t="s">
        <v>851</v>
      </c>
      <c r="L30" t="str">
        <f>IF($B30="","",IFERROR(_xlfn.XLOOKUP(_xlfn.TEXTJOIN(" ",TRUE,_xlfn._xlws.SORT(_xlfn.TEXTSPLIT(TRIM(UPPER($B30))," ",,TRUE),1,1,TRUE)),puestos!$C$2:$C$324,puestos!$B$2:$B$324),"SIN PUESTO"))</f>
        <v>COORDINADOR DE NOMINA</v>
      </c>
    </row>
    <row r="31" spans="1:12" x14ac:dyDescent="0.35">
      <c r="A31">
        <v>10030</v>
      </c>
      <c r="B31" t="s">
        <v>146</v>
      </c>
      <c r="C31" t="s">
        <v>763</v>
      </c>
      <c r="D31" t="s">
        <v>467</v>
      </c>
      <c r="E31" t="s">
        <v>196</v>
      </c>
      <c r="F31" t="s">
        <v>664</v>
      </c>
      <c r="G31" t="s">
        <v>664</v>
      </c>
      <c r="H31" t="s">
        <v>12</v>
      </c>
      <c r="I31">
        <v>40</v>
      </c>
      <c r="J31" s="1" t="s">
        <v>852</v>
      </c>
      <c r="L31" t="str">
        <f>IF($B31="","",IFERROR(_xlfn.XLOOKUP(_xlfn.TEXTJOIN(" ",TRUE,_xlfn._xlws.SORT(_xlfn.TEXTSPLIT(TRIM(UPPER($B31))," ",,TRUE),1,1,TRUE)),puestos!$C$2:$C$324,puestos!$B$2:$B$324),"SIN PUESTO"))</f>
        <v>ESPECIALISTA DE DISEÑO GRAFICO</v>
      </c>
    </row>
    <row r="32" spans="1:12" x14ac:dyDescent="0.35">
      <c r="A32">
        <v>10031</v>
      </c>
      <c r="B32" t="s">
        <v>147</v>
      </c>
      <c r="C32" t="s">
        <v>764</v>
      </c>
      <c r="D32" t="s">
        <v>468</v>
      </c>
      <c r="E32" t="s">
        <v>141</v>
      </c>
      <c r="F32" t="s">
        <v>658</v>
      </c>
      <c r="G32" t="s">
        <v>668</v>
      </c>
      <c r="H32" t="s">
        <v>12</v>
      </c>
      <c r="I32">
        <v>42</v>
      </c>
      <c r="J32" s="1" t="s">
        <v>853</v>
      </c>
      <c r="L32" t="str">
        <f>IF($B32="","",IFERROR(_xlfn.XLOOKUP(_xlfn.TEXTJOIN(" ",TRUE,_xlfn._xlws.SORT(_xlfn.TEXTSPLIT(TRIM(UPPER($B32))," ",,TRUE),1,1,TRUE)),puestos!$C$2:$C$324,puestos!$B$2:$B$324),"SIN PUESTO"))</f>
        <v>VERIFICADOR</v>
      </c>
    </row>
    <row r="33" spans="1:12" x14ac:dyDescent="0.35">
      <c r="A33">
        <v>10032</v>
      </c>
      <c r="B33" t="s">
        <v>148</v>
      </c>
      <c r="D33" t="s">
        <v>469</v>
      </c>
      <c r="E33" t="s">
        <v>26</v>
      </c>
      <c r="F33" t="s">
        <v>658</v>
      </c>
      <c r="G33" t="s">
        <v>668</v>
      </c>
      <c r="H33" t="s">
        <v>823</v>
      </c>
      <c r="I33">
        <v>14</v>
      </c>
      <c r="J33" s="1" t="s">
        <v>854</v>
      </c>
      <c r="L33" t="str">
        <f>IF($B33="","",IFERROR(_xlfn.XLOOKUP(_xlfn.TEXTJOIN(" ",TRUE,_xlfn._xlws.SORT(_xlfn.TEXTSPLIT(TRIM(UPPER($B33))," ",,TRUE),1,1,TRUE)),puestos!$C$2:$C$324,puestos!$B$2:$B$324),"SIN PUESTO"))</f>
        <v>CHOFER</v>
      </c>
    </row>
    <row r="34" spans="1:12" x14ac:dyDescent="0.35">
      <c r="A34">
        <v>10033</v>
      </c>
      <c r="B34" t="s">
        <v>149</v>
      </c>
      <c r="D34" t="s">
        <v>470</v>
      </c>
      <c r="E34" t="s">
        <v>26</v>
      </c>
      <c r="F34" t="s">
        <v>658</v>
      </c>
      <c r="G34" t="s">
        <v>668</v>
      </c>
      <c r="H34" t="s">
        <v>823</v>
      </c>
      <c r="I34">
        <v>36</v>
      </c>
      <c r="J34" s="1" t="s">
        <v>855</v>
      </c>
      <c r="L34" t="str">
        <f>IF($B34="","",IFERROR(_xlfn.XLOOKUP(_xlfn.TEXTJOIN(" ",TRUE,_xlfn._xlws.SORT(_xlfn.TEXTSPLIT(TRIM(UPPER($B34))," ",,TRUE),1,1,TRUE)),puestos!$C$2:$C$324,puestos!$B$2:$B$324),"SIN PUESTO"))</f>
        <v>CHOFER</v>
      </c>
    </row>
    <row r="35" spans="1:12" x14ac:dyDescent="0.35">
      <c r="A35">
        <v>10034</v>
      </c>
      <c r="B35" t="s">
        <v>150</v>
      </c>
      <c r="D35" t="s">
        <v>471</v>
      </c>
      <c r="E35" t="s">
        <v>141</v>
      </c>
      <c r="F35" t="s">
        <v>658</v>
      </c>
      <c r="G35" t="s">
        <v>668</v>
      </c>
      <c r="H35" t="s">
        <v>823</v>
      </c>
      <c r="I35">
        <v>38</v>
      </c>
      <c r="J35" s="1" t="s">
        <v>856</v>
      </c>
      <c r="L35" t="str">
        <f>IF($B35="","",IFERROR(_xlfn.XLOOKUP(_xlfn.TEXTJOIN(" ",TRUE,_xlfn._xlws.SORT(_xlfn.TEXTSPLIT(TRIM(UPPER($B35))," ",,TRUE),1,1,TRUE)),puestos!$C$2:$C$324,puestos!$B$2:$B$324),"SIN PUESTO"))</f>
        <v>AUXILIAR DE BODEGA</v>
      </c>
    </row>
    <row r="36" spans="1:12" x14ac:dyDescent="0.35">
      <c r="A36">
        <v>10035</v>
      </c>
      <c r="B36" t="s">
        <v>151</v>
      </c>
      <c r="C36" t="s">
        <v>765</v>
      </c>
      <c r="D36" t="s">
        <v>472</v>
      </c>
      <c r="E36" t="s">
        <v>167</v>
      </c>
      <c r="F36" t="s">
        <v>656</v>
      </c>
      <c r="G36" t="s">
        <v>656</v>
      </c>
      <c r="H36" t="s">
        <v>12</v>
      </c>
      <c r="I36">
        <v>34</v>
      </c>
      <c r="J36" s="1" t="s">
        <v>856</v>
      </c>
      <c r="L36" t="str">
        <f>IF($B36="","",IFERROR(_xlfn.XLOOKUP(_xlfn.TEXTJOIN(" ",TRUE,_xlfn._xlws.SORT(_xlfn.TEXTSPLIT(TRIM(UPPER($B36))," ",,TRUE),1,1,TRUE)),puestos!$C$2:$C$324,puestos!$B$2:$B$324),"SIN PUESTO"))</f>
        <v>ESPECIALISTA DE OBZ COMERCIAL</v>
      </c>
    </row>
    <row r="37" spans="1:12" x14ac:dyDescent="0.35">
      <c r="A37">
        <v>10036</v>
      </c>
      <c r="B37" t="s">
        <v>152</v>
      </c>
      <c r="D37" t="s">
        <v>473</v>
      </c>
      <c r="E37" t="s">
        <v>26</v>
      </c>
      <c r="F37" t="s">
        <v>658</v>
      </c>
      <c r="G37" t="s">
        <v>684</v>
      </c>
      <c r="H37" t="s">
        <v>823</v>
      </c>
      <c r="I37">
        <v>38</v>
      </c>
      <c r="J37" s="1" t="s">
        <v>857</v>
      </c>
      <c r="L37" t="str">
        <f>IF($B37="","",IFERROR(_xlfn.XLOOKUP(_xlfn.TEXTJOIN(" ",TRUE,_xlfn._xlws.SORT(_xlfn.TEXTSPLIT(TRIM(UPPER($B37))," ",,TRUE),1,1,TRUE)),puestos!$C$2:$C$324,puestos!$B$2:$B$324),"SIN PUESTO"))</f>
        <v>AUXILIAR DE MONITOREO</v>
      </c>
    </row>
    <row r="38" spans="1:12" x14ac:dyDescent="0.35">
      <c r="A38">
        <v>10037</v>
      </c>
      <c r="B38" t="s">
        <v>153</v>
      </c>
      <c r="C38" t="s">
        <v>766</v>
      </c>
      <c r="D38" t="s">
        <v>474</v>
      </c>
      <c r="E38" t="s">
        <v>654</v>
      </c>
      <c r="F38" t="s">
        <v>663</v>
      </c>
      <c r="G38" t="s">
        <v>682</v>
      </c>
      <c r="H38" t="s">
        <v>12</v>
      </c>
      <c r="I38">
        <v>31</v>
      </c>
      <c r="J38" s="1" t="s">
        <v>858</v>
      </c>
      <c r="L38" t="str">
        <f>IF($B38="","",IFERROR(_xlfn.XLOOKUP(_xlfn.TEXTJOIN(" ",TRUE,_xlfn._xlws.SORT(_xlfn.TEXTSPLIT(TRIM(UPPER($B38))," ",,TRUE),1,1,TRUE)),puestos!$C$2:$C$324,puestos!$B$2:$B$324),"SIN PUESTO"))</f>
        <v>ESPECIALISTA JURIDICO</v>
      </c>
    </row>
    <row r="39" spans="1:12" x14ac:dyDescent="0.35">
      <c r="A39">
        <v>10038</v>
      </c>
      <c r="B39" t="s">
        <v>154</v>
      </c>
      <c r="C39" t="s">
        <v>767</v>
      </c>
      <c r="D39" t="s">
        <v>475</v>
      </c>
      <c r="E39" t="s">
        <v>157</v>
      </c>
      <c r="F39" t="s">
        <v>657</v>
      </c>
      <c r="G39" t="s">
        <v>677</v>
      </c>
      <c r="H39" t="s">
        <v>12</v>
      </c>
      <c r="I39">
        <v>38</v>
      </c>
      <c r="J39" s="1" t="s">
        <v>859</v>
      </c>
      <c r="L39" t="str">
        <f>IF($B39="","",IFERROR(_xlfn.XLOOKUP(_xlfn.TEXTJOIN(" ",TRUE,_xlfn._xlws.SORT(_xlfn.TEXTSPLIT(TRIM(UPPER($B39))," ",,TRUE),1,1,TRUE)),puestos!$C$2:$C$324,puestos!$B$2:$B$324),"SIN PUESTO"))</f>
        <v>ANALISTA CUENTAS POR PAGAR</v>
      </c>
    </row>
    <row r="40" spans="1:12" x14ac:dyDescent="0.35">
      <c r="A40">
        <v>10039</v>
      </c>
      <c r="B40" t="s">
        <v>155</v>
      </c>
      <c r="D40" t="s">
        <v>476</v>
      </c>
      <c r="E40" t="s">
        <v>141</v>
      </c>
      <c r="F40" t="s">
        <v>658</v>
      </c>
      <c r="G40" t="s">
        <v>668</v>
      </c>
      <c r="H40" t="s">
        <v>823</v>
      </c>
      <c r="I40">
        <v>54</v>
      </c>
      <c r="J40" s="1" t="s">
        <v>860</v>
      </c>
      <c r="L40" t="str">
        <f>IF($B40="","",IFERROR(_xlfn.XLOOKUP(_xlfn.TEXTJOIN(" ",TRUE,_xlfn._xlws.SORT(_xlfn.TEXTSPLIT(TRIM(UPPER($B40))," ",,TRUE),1,1,TRUE)),puestos!$C$2:$C$324,puestos!$B$2:$B$324),"SIN PUESTO"))</f>
        <v>AUXILIAR DE BODEGA</v>
      </c>
    </row>
    <row r="41" spans="1:12" x14ac:dyDescent="0.35">
      <c r="A41">
        <v>10040</v>
      </c>
      <c r="B41" t="s">
        <v>156</v>
      </c>
      <c r="C41" t="s">
        <v>768</v>
      </c>
      <c r="D41" t="s">
        <v>477</v>
      </c>
      <c r="E41" t="s">
        <v>333</v>
      </c>
      <c r="F41" t="s">
        <v>659</v>
      </c>
      <c r="G41" t="s">
        <v>671</v>
      </c>
      <c r="H41" t="s">
        <v>12</v>
      </c>
      <c r="I41">
        <v>18</v>
      </c>
      <c r="J41" s="1" t="s">
        <v>861</v>
      </c>
      <c r="K41" t="s">
        <v>1008</v>
      </c>
      <c r="L41" t="str">
        <f>IF($B41="","",IFERROR(_xlfn.XLOOKUP(_xlfn.TEXTJOIN(" ",TRUE,_xlfn._xlws.SORT(_xlfn.TEXTSPLIT(TRIM(UPPER($B41))," ",,TRUE),1,1,TRUE)),puestos!$C$2:$C$324,puestos!$B$2:$B$324),"SIN PUESTO"))</f>
        <v>COORDINADOR G&amp;G</v>
      </c>
    </row>
    <row r="42" spans="1:12" x14ac:dyDescent="0.35">
      <c r="A42">
        <v>10041</v>
      </c>
      <c r="B42" t="s">
        <v>157</v>
      </c>
      <c r="C42" t="s">
        <v>769</v>
      </c>
      <c r="D42" t="s">
        <v>478</v>
      </c>
      <c r="E42" t="s">
        <v>192</v>
      </c>
      <c r="F42" t="s">
        <v>657</v>
      </c>
      <c r="G42" t="s">
        <v>677</v>
      </c>
      <c r="H42" t="s">
        <v>12</v>
      </c>
      <c r="I42">
        <v>34</v>
      </c>
      <c r="J42" s="1" t="s">
        <v>862</v>
      </c>
      <c r="L42" t="str">
        <f>IF($B42="","",IFERROR(_xlfn.XLOOKUP(_xlfn.TEXTJOIN(" ",TRUE,_xlfn._xlws.SORT(_xlfn.TEXTSPLIT(TRIM(UPPER($B42))," ",,TRUE),1,1,TRUE)),puestos!$C$2:$C$324,puestos!$B$2:$B$324),"SIN PUESTO"))</f>
        <v>JEFE DE CUENTAS POR PAGAR</v>
      </c>
    </row>
    <row r="43" spans="1:12" x14ac:dyDescent="0.35">
      <c r="A43">
        <v>10042</v>
      </c>
      <c r="B43" t="s">
        <v>158</v>
      </c>
      <c r="C43" t="s">
        <v>770</v>
      </c>
      <c r="D43" t="s">
        <v>479</v>
      </c>
      <c r="E43" t="s">
        <v>192</v>
      </c>
      <c r="F43" t="s">
        <v>657</v>
      </c>
      <c r="G43" t="s">
        <v>673</v>
      </c>
      <c r="H43" t="s">
        <v>12</v>
      </c>
      <c r="I43">
        <v>34</v>
      </c>
      <c r="J43" s="1" t="s">
        <v>863</v>
      </c>
      <c r="L43" t="str">
        <f>IF($B43="","",IFERROR(_xlfn.XLOOKUP(_xlfn.TEXTJOIN(" ",TRUE,_xlfn._xlws.SORT(_xlfn.TEXTSPLIT(TRIM(UPPER($B43))," ",,TRUE),1,1,TRUE)),puestos!$C$2:$C$324,puestos!$B$2:$B$324),"SIN PUESTO"))</f>
        <v>ANALISTA IT</v>
      </c>
    </row>
    <row r="44" spans="1:12" x14ac:dyDescent="0.35">
      <c r="A44">
        <v>10043</v>
      </c>
      <c r="B44" t="s">
        <v>159</v>
      </c>
      <c r="C44" t="s">
        <v>771</v>
      </c>
      <c r="D44" t="s">
        <v>480</v>
      </c>
      <c r="E44" t="s">
        <v>167</v>
      </c>
      <c r="F44" t="s">
        <v>656</v>
      </c>
      <c r="G44" t="s">
        <v>666</v>
      </c>
      <c r="H44" t="s">
        <v>12</v>
      </c>
      <c r="I44">
        <v>34</v>
      </c>
      <c r="J44" s="1" t="s">
        <v>864</v>
      </c>
      <c r="L44" t="str">
        <f>IF($B44="","",IFERROR(_xlfn.XLOOKUP(_xlfn.TEXTJOIN(" ",TRUE,_xlfn._xlws.SORT(_xlfn.TEXTSPLIT(TRIM(UPPER($B44))," ",,TRUE),1,1,TRUE)),puestos!$C$2:$C$324,puestos!$B$2:$B$324),"SIN PUESTO"))</f>
        <v>COORDINADOR ADMINISTRATIVO TRADE</v>
      </c>
    </row>
    <row r="45" spans="1:12" x14ac:dyDescent="0.35">
      <c r="A45">
        <v>10044</v>
      </c>
      <c r="B45" t="s">
        <v>160</v>
      </c>
      <c r="C45" t="s">
        <v>772</v>
      </c>
      <c r="D45" t="s">
        <v>481</v>
      </c>
      <c r="E45" t="s">
        <v>127</v>
      </c>
      <c r="F45" t="s">
        <v>663</v>
      </c>
      <c r="G45" t="s">
        <v>682</v>
      </c>
      <c r="H45" t="s">
        <v>12</v>
      </c>
      <c r="I45">
        <v>27</v>
      </c>
      <c r="J45" s="1" t="s">
        <v>865</v>
      </c>
      <c r="L45" t="str">
        <f>IF($B45="","",IFERROR(_xlfn.XLOOKUP(_xlfn.TEXTJOIN(" ",TRUE,_xlfn._xlws.SORT(_xlfn.TEXTSPLIT(TRIM(UPPER($B45))," ",,TRUE),1,1,TRUE)),puestos!$C$2:$C$324,puestos!$B$2:$B$324),"SIN PUESTO"))</f>
        <v>ANALISTA DE SOSTENIBILIDAD</v>
      </c>
    </row>
    <row r="46" spans="1:12" x14ac:dyDescent="0.35">
      <c r="A46">
        <v>10045</v>
      </c>
      <c r="B46" t="s">
        <v>161</v>
      </c>
      <c r="C46" t="s">
        <v>773</v>
      </c>
      <c r="D46" t="s">
        <v>482</v>
      </c>
      <c r="E46" t="s">
        <v>178</v>
      </c>
      <c r="F46" t="s">
        <v>662</v>
      </c>
      <c r="G46" t="s">
        <v>662</v>
      </c>
      <c r="H46" t="s">
        <v>12</v>
      </c>
      <c r="I46">
        <v>26</v>
      </c>
      <c r="J46" s="1" t="s">
        <v>866</v>
      </c>
      <c r="L46" t="str">
        <f>IF($B46="","",IFERROR(_xlfn.XLOOKUP(_xlfn.TEXTJOIN(" ",TRUE,_xlfn._xlws.SORT(_xlfn.TEXTSPLIT(TRIM(UPPER($B46))," ",,TRUE),1,1,TRUE)),puestos!$C$2:$C$324,puestos!$B$2:$B$324),"SIN PUESTO"))</f>
        <v>COORDINADOR DE COMPRAS</v>
      </c>
    </row>
    <row r="47" spans="1:12" x14ac:dyDescent="0.35">
      <c r="A47">
        <v>10048</v>
      </c>
      <c r="B47" t="s">
        <v>162</v>
      </c>
      <c r="C47" t="s">
        <v>774</v>
      </c>
      <c r="D47" t="s">
        <v>483</v>
      </c>
      <c r="E47" t="s">
        <v>176</v>
      </c>
      <c r="F47" t="s">
        <v>658</v>
      </c>
      <c r="G47" t="s">
        <v>685</v>
      </c>
      <c r="H47" t="s">
        <v>12</v>
      </c>
      <c r="I47">
        <v>38</v>
      </c>
      <c r="J47" s="1" t="s">
        <v>867</v>
      </c>
      <c r="L47" t="str">
        <f>IF($B47="","",IFERROR(_xlfn.XLOOKUP(_xlfn.TEXTJOIN(" ",TRUE,_xlfn._xlws.SORT(_xlfn.TEXTSPLIT(TRIM(UPPER($B47))," ",,TRUE),1,1,TRUE)),puestos!$C$2:$C$324,puestos!$B$2:$B$324),"SIN PUESTO"))</f>
        <v>COORDINADOR DE PLANIFICACION DE ABASTECIMIENTO</v>
      </c>
    </row>
    <row r="48" spans="1:12" x14ac:dyDescent="0.35">
      <c r="A48">
        <v>10049</v>
      </c>
      <c r="B48" t="s">
        <v>163</v>
      </c>
      <c r="C48" t="s">
        <v>775</v>
      </c>
      <c r="D48" t="s">
        <v>484</v>
      </c>
      <c r="E48" t="s">
        <v>133</v>
      </c>
      <c r="F48" t="s">
        <v>656</v>
      </c>
      <c r="G48" t="s">
        <v>669</v>
      </c>
      <c r="H48" t="s">
        <v>12</v>
      </c>
      <c r="I48">
        <v>21</v>
      </c>
      <c r="J48" s="1" t="s">
        <v>868</v>
      </c>
      <c r="L48" t="str">
        <f>IF($B48="","",IFERROR(_xlfn.XLOOKUP(_xlfn.TEXTJOIN(" ",TRUE,_xlfn._xlws.SORT(_xlfn.TEXTSPLIT(TRIM(UPPER($B48))," ",,TRUE),1,1,TRUE)),puestos!$C$2:$C$324,puestos!$B$2:$B$324),"SIN PUESTO"))</f>
        <v>EJECUTIVO DE FOOD SERVICE</v>
      </c>
    </row>
    <row r="49" spans="1:12" x14ac:dyDescent="0.35">
      <c r="A49">
        <v>10050</v>
      </c>
      <c r="B49" t="s">
        <v>164</v>
      </c>
      <c r="D49" t="s">
        <v>485</v>
      </c>
      <c r="E49" t="s">
        <v>141</v>
      </c>
      <c r="F49" t="s">
        <v>658</v>
      </c>
      <c r="G49" t="s">
        <v>668</v>
      </c>
      <c r="H49" t="s">
        <v>823</v>
      </c>
      <c r="I49">
        <v>27</v>
      </c>
      <c r="J49" s="1" t="s">
        <v>869</v>
      </c>
      <c r="L49" t="str">
        <f>IF($B49="","",IFERROR(_xlfn.XLOOKUP(_xlfn.TEXTJOIN(" ",TRUE,_xlfn._xlws.SORT(_xlfn.TEXTSPLIT(TRIM(UPPER($B49))," ",,TRUE),1,1,TRUE)),puestos!$C$2:$C$324,puestos!$B$2:$B$324),"SIN PUESTO"))</f>
        <v>AUXILIAR DE BODEGA</v>
      </c>
    </row>
    <row r="50" spans="1:12" x14ac:dyDescent="0.35">
      <c r="A50">
        <v>10051</v>
      </c>
      <c r="B50" t="s">
        <v>165</v>
      </c>
      <c r="C50" t="s">
        <v>776</v>
      </c>
      <c r="D50" t="s">
        <v>486</v>
      </c>
      <c r="E50" t="s">
        <v>133</v>
      </c>
      <c r="F50" t="s">
        <v>656</v>
      </c>
      <c r="G50" t="s">
        <v>666</v>
      </c>
      <c r="H50" t="s">
        <v>12</v>
      </c>
      <c r="I50">
        <v>19</v>
      </c>
      <c r="J50" s="1" t="s">
        <v>870</v>
      </c>
      <c r="L50" t="str">
        <f>IF($B50="","",IFERROR(_xlfn.XLOOKUP(_xlfn.TEXTJOIN(" ",TRUE,_xlfn._xlws.SORT(_xlfn.TEXTSPLIT(TRIM(UPPER($B50))," ",,TRUE),1,1,TRUE)),puestos!$C$2:$C$324,puestos!$B$2:$B$324),"SIN PUESTO"))</f>
        <v>KAM MAYOREO Y DISTRIBUIDORES</v>
      </c>
    </row>
    <row r="51" spans="1:12" x14ac:dyDescent="0.35">
      <c r="A51">
        <v>10052</v>
      </c>
      <c r="B51" t="s">
        <v>166</v>
      </c>
      <c r="D51" t="s">
        <v>487</v>
      </c>
      <c r="E51" t="s">
        <v>26</v>
      </c>
      <c r="F51" t="s">
        <v>658</v>
      </c>
      <c r="G51" t="s">
        <v>684</v>
      </c>
      <c r="H51" t="s">
        <v>823</v>
      </c>
      <c r="I51">
        <v>16</v>
      </c>
      <c r="J51" s="1" t="s">
        <v>871</v>
      </c>
      <c r="L51" t="str">
        <f>IF($B51="","",IFERROR(_xlfn.XLOOKUP(_xlfn.TEXTJOIN(" ",TRUE,_xlfn._xlws.SORT(_xlfn.TEXTSPLIT(TRIM(UPPER($B51))," ",,TRUE),1,1,TRUE)),puestos!$C$2:$C$324,puestos!$B$2:$B$324),"SIN PUESTO"))</f>
        <v>AUXILIAR DE MONITOREO</v>
      </c>
    </row>
    <row r="52" spans="1:12" x14ac:dyDescent="0.35">
      <c r="A52">
        <v>10054</v>
      </c>
      <c r="B52" t="s">
        <v>167</v>
      </c>
      <c r="C52" t="s">
        <v>777</v>
      </c>
      <c r="D52" t="s">
        <v>488</v>
      </c>
      <c r="E52" t="s">
        <v>133</v>
      </c>
      <c r="F52" t="s">
        <v>656</v>
      </c>
      <c r="G52" t="s">
        <v>666</v>
      </c>
      <c r="H52" t="s">
        <v>12</v>
      </c>
      <c r="I52">
        <v>11</v>
      </c>
      <c r="J52" s="1" t="s">
        <v>872</v>
      </c>
      <c r="L52" t="str">
        <f>IF($B52="","",IFERROR(_xlfn.XLOOKUP(_xlfn.TEXTJOIN(" ",TRUE,_xlfn._xlws.SORT(_xlfn.TEXTSPLIT(TRIM(UPPER($B52))," ",,TRUE),1,1,TRUE)),puestos!$C$2:$C$324,puestos!$B$2:$B$324),"SIN PUESTO"))</f>
        <v>GERENTE TRADE MARKETING</v>
      </c>
    </row>
    <row r="53" spans="1:12" x14ac:dyDescent="0.35">
      <c r="A53">
        <v>10055</v>
      </c>
      <c r="B53" t="s">
        <v>168</v>
      </c>
      <c r="D53" t="s">
        <v>489</v>
      </c>
      <c r="E53" t="s">
        <v>141</v>
      </c>
      <c r="F53" t="s">
        <v>658</v>
      </c>
      <c r="G53" t="s">
        <v>668</v>
      </c>
      <c r="H53" t="s">
        <v>823</v>
      </c>
      <c r="I53">
        <v>25</v>
      </c>
      <c r="J53" s="1" t="s">
        <v>873</v>
      </c>
      <c r="L53" t="str">
        <f>IF($B53="","",IFERROR(_xlfn.XLOOKUP(_xlfn.TEXTJOIN(" ",TRUE,_xlfn._xlws.SORT(_xlfn.TEXTSPLIT(TRIM(UPPER($B53))," ",,TRUE),1,1,TRUE)),puestos!$C$2:$C$324,puestos!$B$2:$B$324),"SIN PUESTO"))</f>
        <v>AUXILIAR DE BODEGA</v>
      </c>
    </row>
    <row r="54" spans="1:12" x14ac:dyDescent="0.35">
      <c r="A54">
        <v>10056</v>
      </c>
      <c r="B54" t="s">
        <v>169</v>
      </c>
      <c r="D54" t="s">
        <v>490</v>
      </c>
      <c r="E54" t="s">
        <v>141</v>
      </c>
      <c r="F54" t="s">
        <v>658</v>
      </c>
      <c r="G54" t="s">
        <v>668</v>
      </c>
      <c r="H54" t="s">
        <v>823</v>
      </c>
      <c r="I54">
        <v>18</v>
      </c>
      <c r="J54" s="1" t="s">
        <v>874</v>
      </c>
      <c r="L54" t="str">
        <f>IF($B54="","",IFERROR(_xlfn.XLOOKUP(_xlfn.TEXTJOIN(" ",TRUE,_xlfn._xlws.SORT(_xlfn.TEXTSPLIT(TRIM(UPPER($B54))," ",,TRUE),1,1,TRUE)),puestos!$C$2:$C$324,puestos!$B$2:$B$324),"SIN PUESTO"))</f>
        <v>AUXILIAR DE BODEGA</v>
      </c>
    </row>
    <row r="55" spans="1:12" x14ac:dyDescent="0.35">
      <c r="A55">
        <v>10057</v>
      </c>
      <c r="B55" t="s">
        <v>170</v>
      </c>
      <c r="D55" t="s">
        <v>491</v>
      </c>
      <c r="E55" t="s">
        <v>163</v>
      </c>
      <c r="F55" t="s">
        <v>656</v>
      </c>
      <c r="G55" t="s">
        <v>669</v>
      </c>
      <c r="H55" t="s">
        <v>823</v>
      </c>
      <c r="I55">
        <v>25</v>
      </c>
      <c r="J55" s="1" t="s">
        <v>875</v>
      </c>
      <c r="L55" t="str">
        <f>IF($B55="","",IFERROR(_xlfn.XLOOKUP(_xlfn.TEXTJOIN(" ",TRUE,_xlfn._xlws.SORT(_xlfn.TEXTSPLIT(TRIM(UPPER($B55))," ",,TRUE),1,1,TRUE)),puestos!$C$2:$C$324,puestos!$B$2:$B$324),"SIN PUESTO"))</f>
        <v>TECNICO FOOD SERVICE</v>
      </c>
    </row>
    <row r="56" spans="1:12" x14ac:dyDescent="0.35">
      <c r="A56">
        <v>10058</v>
      </c>
      <c r="B56" t="s">
        <v>171</v>
      </c>
      <c r="C56" t="s">
        <v>778</v>
      </c>
      <c r="D56" t="s">
        <v>492</v>
      </c>
      <c r="E56" t="s">
        <v>178</v>
      </c>
      <c r="F56" t="s">
        <v>662</v>
      </c>
      <c r="G56" t="s">
        <v>662</v>
      </c>
      <c r="H56" t="s">
        <v>12</v>
      </c>
      <c r="I56">
        <v>22</v>
      </c>
      <c r="J56" s="1" t="s">
        <v>876</v>
      </c>
      <c r="L56" t="str">
        <f>IF($B56="","",IFERROR(_xlfn.XLOOKUP(_xlfn.TEXTJOIN(" ",TRUE,_xlfn._xlws.SORT(_xlfn.TEXTSPLIT(TRIM(UPPER($B56))," ",,TRUE),1,1,TRUE)),puestos!$C$2:$C$324,puestos!$B$2:$B$324),"SIN PUESTO"))</f>
        <v>COORDINADOR DE COMPRAS</v>
      </c>
    </row>
    <row r="57" spans="1:12" x14ac:dyDescent="0.35">
      <c r="A57">
        <v>10060</v>
      </c>
      <c r="B57" t="s">
        <v>172</v>
      </c>
      <c r="C57" t="s">
        <v>779</v>
      </c>
      <c r="D57" t="s">
        <v>493</v>
      </c>
      <c r="E57" t="s">
        <v>174</v>
      </c>
      <c r="F57" t="s">
        <v>658</v>
      </c>
      <c r="G57" t="s">
        <v>668</v>
      </c>
      <c r="H57" t="s">
        <v>12</v>
      </c>
      <c r="I57">
        <v>18</v>
      </c>
      <c r="J57" s="1" t="s">
        <v>877</v>
      </c>
      <c r="L57" t="str">
        <f>IF($B57="","",IFERROR(_xlfn.XLOOKUP(_xlfn.TEXTJOIN(" ",TRUE,_xlfn._xlws.SORT(_xlfn.TEXTSPLIT(TRIM(UPPER($B57))," ",,TRUE),1,1,TRUE)),puestos!$C$2:$C$324,puestos!$B$2:$B$324),"SIN PUESTO"))</f>
        <v>CIT LOGISTICA</v>
      </c>
    </row>
    <row r="58" spans="1:12" x14ac:dyDescent="0.35">
      <c r="A58">
        <v>10061</v>
      </c>
      <c r="B58" t="s">
        <v>173</v>
      </c>
      <c r="D58" t="s">
        <v>494</v>
      </c>
      <c r="E58" t="s">
        <v>141</v>
      </c>
      <c r="F58" t="s">
        <v>658</v>
      </c>
      <c r="G58" t="s">
        <v>668</v>
      </c>
      <c r="H58" t="s">
        <v>823</v>
      </c>
      <c r="I58">
        <v>14</v>
      </c>
      <c r="J58" s="1" t="s">
        <v>878</v>
      </c>
      <c r="L58" t="str">
        <f>IF($B58="","",IFERROR(_xlfn.XLOOKUP(_xlfn.TEXTJOIN(" ",TRUE,_xlfn._xlws.SORT(_xlfn.TEXTSPLIT(TRIM(UPPER($B58))," ",,TRUE),1,1,TRUE)),puestos!$C$2:$C$324,puestos!$B$2:$B$324),"SIN PUESTO"))</f>
        <v>AUXILIAR DE BODEGA</v>
      </c>
    </row>
    <row r="59" spans="1:12" x14ac:dyDescent="0.35">
      <c r="A59">
        <v>10063</v>
      </c>
      <c r="B59" t="s">
        <v>174</v>
      </c>
      <c r="C59" t="s">
        <v>780</v>
      </c>
      <c r="D59" t="s">
        <v>495</v>
      </c>
      <c r="E59" t="s">
        <v>210</v>
      </c>
      <c r="F59" t="s">
        <v>658</v>
      </c>
      <c r="G59" t="s">
        <v>685</v>
      </c>
      <c r="H59" t="s">
        <v>12</v>
      </c>
      <c r="I59">
        <v>18</v>
      </c>
      <c r="J59" s="1" t="s">
        <v>879</v>
      </c>
      <c r="L59" t="str">
        <f>IF($B59="","",IFERROR(_xlfn.XLOOKUP(_xlfn.TEXTJOIN(" ",TRUE,_xlfn._xlws.SORT(_xlfn.TEXTSPLIT(TRIM(UPPER($B59))," ",,TRUE),1,1,TRUE)),puestos!$C$2:$C$324,puestos!$B$2:$B$324),"SIN PUESTO"))</f>
        <v>GERENTE PLANEACION DE SUMINISTROS</v>
      </c>
    </row>
    <row r="60" spans="1:12" x14ac:dyDescent="0.35">
      <c r="A60">
        <v>10065</v>
      </c>
      <c r="B60" t="s">
        <v>175</v>
      </c>
      <c r="D60" t="s">
        <v>496</v>
      </c>
      <c r="E60" t="s">
        <v>26</v>
      </c>
      <c r="F60" t="s">
        <v>658</v>
      </c>
      <c r="G60" t="s">
        <v>684</v>
      </c>
      <c r="H60" t="s">
        <v>823</v>
      </c>
      <c r="I60">
        <v>26</v>
      </c>
      <c r="J60" s="1" t="s">
        <v>880</v>
      </c>
      <c r="L60" t="str">
        <f>IF($B60="","",IFERROR(_xlfn.XLOOKUP(_xlfn.TEXTJOIN(" ",TRUE,_xlfn._xlws.SORT(_xlfn.TEXTSPLIT(TRIM(UPPER($B60))," ",,TRUE),1,1,TRUE)),puestos!$C$2:$C$324,puestos!$B$2:$B$324),"SIN PUESTO"))</f>
        <v>AUXILIAR DE MONITOREO</v>
      </c>
    </row>
    <row r="61" spans="1:12" x14ac:dyDescent="0.35">
      <c r="A61">
        <v>10066</v>
      </c>
      <c r="B61" t="s">
        <v>176</v>
      </c>
      <c r="C61" t="s">
        <v>781</v>
      </c>
      <c r="D61" t="s">
        <v>497</v>
      </c>
      <c r="E61" t="s">
        <v>210</v>
      </c>
      <c r="F61" t="s">
        <v>658</v>
      </c>
      <c r="G61" t="s">
        <v>685</v>
      </c>
      <c r="H61" t="s">
        <v>12</v>
      </c>
      <c r="I61">
        <v>24</v>
      </c>
      <c r="J61" s="1" t="s">
        <v>881</v>
      </c>
      <c r="L61" t="str">
        <f>IF($B61="","",IFERROR(_xlfn.XLOOKUP(_xlfn.TEXTJOIN(" ",TRUE,_xlfn._xlws.SORT(_xlfn.TEXTSPLIT(TRIM(UPPER($B61))," ",,TRUE),1,1,TRUE)),puestos!$C$2:$C$324,puestos!$B$2:$B$324),"SIN PUESTO"))</f>
        <v>GERENTE DE PLANIFICACION LOGISTICA</v>
      </c>
    </row>
    <row r="62" spans="1:12" x14ac:dyDescent="0.35">
      <c r="A62">
        <v>10067</v>
      </c>
      <c r="B62" t="s">
        <v>177</v>
      </c>
      <c r="D62" t="s">
        <v>498</v>
      </c>
      <c r="E62" t="s">
        <v>124</v>
      </c>
      <c r="F62" t="s">
        <v>658</v>
      </c>
      <c r="G62" t="s">
        <v>683</v>
      </c>
      <c r="H62" t="s">
        <v>823</v>
      </c>
      <c r="I62">
        <v>13</v>
      </c>
      <c r="J62" s="1" t="s">
        <v>881</v>
      </c>
      <c r="L62" t="str">
        <f>IF($B62="","",IFERROR(_xlfn.XLOOKUP(_xlfn.TEXTJOIN(" ",TRUE,_xlfn._xlws.SORT(_xlfn.TEXTSPLIT(TRIM(UPPER($B62))," ",,TRUE),1,1,TRUE)),puestos!$C$2:$C$324,puestos!$B$2:$B$324),"SIN PUESTO"))</f>
        <v>AUXILIAR DE LIMPIEZA</v>
      </c>
    </row>
    <row r="63" spans="1:12" x14ac:dyDescent="0.35">
      <c r="A63">
        <v>10068</v>
      </c>
      <c r="B63" t="s">
        <v>178</v>
      </c>
      <c r="C63" t="s">
        <v>782</v>
      </c>
      <c r="D63" t="s">
        <v>499</v>
      </c>
      <c r="E63" t="s">
        <v>210</v>
      </c>
      <c r="F63" t="s">
        <v>662</v>
      </c>
      <c r="G63" t="s">
        <v>662</v>
      </c>
      <c r="H63" t="s">
        <v>12</v>
      </c>
      <c r="I63">
        <v>26</v>
      </c>
      <c r="J63" s="1" t="s">
        <v>882</v>
      </c>
      <c r="L63" t="str">
        <f>IF($B63="","",IFERROR(_xlfn.XLOOKUP(_xlfn.TEXTJOIN(" ",TRUE,_xlfn._xlws.SORT(_xlfn.TEXTSPLIT(TRIM(UPPER($B63))," ",,TRUE),1,1,TRUE)),puestos!$C$2:$C$324,puestos!$B$2:$B$324),"SIN PUESTO"))</f>
        <v>GERENTE DE COMPRAS</v>
      </c>
    </row>
    <row r="64" spans="1:12" x14ac:dyDescent="0.35">
      <c r="A64">
        <v>10069</v>
      </c>
      <c r="B64" t="s">
        <v>179</v>
      </c>
      <c r="C64" t="s">
        <v>783</v>
      </c>
      <c r="D64" t="s">
        <v>500</v>
      </c>
      <c r="E64" t="s">
        <v>333</v>
      </c>
      <c r="F64" t="s">
        <v>659</v>
      </c>
      <c r="G64" t="s">
        <v>671</v>
      </c>
      <c r="H64" t="s">
        <v>12</v>
      </c>
      <c r="I64">
        <v>21</v>
      </c>
      <c r="J64" s="1" t="s">
        <v>883</v>
      </c>
      <c r="K64" t="s">
        <v>1008</v>
      </c>
      <c r="L64" t="str">
        <f>IF($B64="","",IFERROR(_xlfn.XLOOKUP(_xlfn.TEXTJOIN(" ",TRUE,_xlfn._xlws.SORT(_xlfn.TEXTSPLIT(TRIM(UPPER($B64))," ",,TRUE),1,1,TRUE)),puestos!$C$2:$C$324,puestos!$B$2:$B$324),"SIN PUESTO"))</f>
        <v>COORDINADOR G&amp;G</v>
      </c>
    </row>
    <row r="65" spans="1:12" x14ac:dyDescent="0.35">
      <c r="A65">
        <v>10070</v>
      </c>
      <c r="B65" t="s">
        <v>180</v>
      </c>
      <c r="C65" t="s">
        <v>784</v>
      </c>
      <c r="D65" t="s">
        <v>501</v>
      </c>
      <c r="E65" t="s">
        <v>176</v>
      </c>
      <c r="F65" t="s">
        <v>658</v>
      </c>
      <c r="G65" t="s">
        <v>685</v>
      </c>
      <c r="H65" t="s">
        <v>12</v>
      </c>
      <c r="I65">
        <v>14</v>
      </c>
      <c r="J65" s="1" t="s">
        <v>884</v>
      </c>
      <c r="L65" t="str">
        <f>IF($B65="","",IFERROR(_xlfn.XLOOKUP(_xlfn.TEXTJOIN(" ",TRUE,_xlfn._xlws.SORT(_xlfn.TEXTSPLIT(TRIM(UPPER($B65))," ",,TRUE),1,1,TRUE)),puestos!$C$2:$C$324,puestos!$B$2:$B$324),"SIN PUESTO"))</f>
        <v>COORDINADOR DE PLANIFICACION DE LA DEMANDA</v>
      </c>
    </row>
    <row r="66" spans="1:12" x14ac:dyDescent="0.35">
      <c r="A66">
        <v>10072</v>
      </c>
      <c r="B66" t="s">
        <v>181</v>
      </c>
      <c r="D66" t="s">
        <v>502</v>
      </c>
      <c r="E66" t="s">
        <v>124</v>
      </c>
      <c r="F66" t="s">
        <v>658</v>
      </c>
      <c r="G66" t="s">
        <v>683</v>
      </c>
      <c r="H66" t="s">
        <v>823</v>
      </c>
      <c r="I66">
        <v>19</v>
      </c>
      <c r="J66" s="1" t="s">
        <v>885</v>
      </c>
      <c r="L66" t="str">
        <f>IF($B66="","",IFERROR(_xlfn.XLOOKUP(_xlfn.TEXTJOIN(" ",TRUE,_xlfn._xlws.SORT(_xlfn.TEXTSPLIT(TRIM(UPPER($B66))," ",,TRUE),1,1,TRUE)),puestos!$C$2:$C$324,puestos!$B$2:$B$324),"SIN PUESTO"))</f>
        <v>AUXILIAR DE LIMPIEZA</v>
      </c>
    </row>
    <row r="67" spans="1:12" x14ac:dyDescent="0.35">
      <c r="A67">
        <v>10073</v>
      </c>
      <c r="B67" t="s">
        <v>182</v>
      </c>
      <c r="C67" t="s">
        <v>785</v>
      </c>
      <c r="D67" t="s">
        <v>503</v>
      </c>
      <c r="E67" t="s">
        <v>190</v>
      </c>
      <c r="F67" t="s">
        <v>657</v>
      </c>
      <c r="G67" t="s">
        <v>676</v>
      </c>
      <c r="H67" t="s">
        <v>12</v>
      </c>
      <c r="I67">
        <v>26</v>
      </c>
      <c r="J67" s="1" t="s">
        <v>886</v>
      </c>
      <c r="L67" t="str">
        <f>IF($B67="","",IFERROR(_xlfn.XLOOKUP(_xlfn.TEXTJOIN(" ",TRUE,_xlfn._xlws.SORT(_xlfn.TEXTSPLIT(TRIM(UPPER($B67))," ",,TRUE),1,1,TRUE)),puestos!$C$2:$C$324,puestos!$B$2:$B$324),"SIN PUESTO"))</f>
        <v>JEFE DE IMPUESTOS</v>
      </c>
    </row>
    <row r="68" spans="1:12" x14ac:dyDescent="0.35">
      <c r="A68">
        <v>10074</v>
      </c>
      <c r="B68" t="s">
        <v>183</v>
      </c>
      <c r="C68" t="s">
        <v>786</v>
      </c>
      <c r="D68" t="s">
        <v>504</v>
      </c>
      <c r="E68" t="s">
        <v>121</v>
      </c>
      <c r="F68" t="s">
        <v>657</v>
      </c>
      <c r="G68" t="s">
        <v>675</v>
      </c>
      <c r="H68" t="s">
        <v>12</v>
      </c>
      <c r="I68">
        <v>26</v>
      </c>
      <c r="J68" s="1" t="s">
        <v>887</v>
      </c>
      <c r="L68" t="str">
        <f>IF($B68="","",IFERROR(_xlfn.XLOOKUP(_xlfn.TEXTJOIN(" ",TRUE,_xlfn._xlws.SORT(_xlfn.TEXTSPLIT(TRIM(UPPER($B68))," ",,TRUE),1,1,TRUE)),puestos!$C$2:$C$324,puestos!$B$2:$B$324),"SIN PUESTO"))</f>
        <v>BECARIO</v>
      </c>
    </row>
    <row r="69" spans="1:12" x14ac:dyDescent="0.35">
      <c r="A69">
        <v>10075</v>
      </c>
      <c r="B69" t="s">
        <v>184</v>
      </c>
      <c r="C69" t="s">
        <v>787</v>
      </c>
      <c r="D69" t="s">
        <v>505</v>
      </c>
      <c r="E69" t="s">
        <v>140</v>
      </c>
      <c r="F69" t="s">
        <v>657</v>
      </c>
      <c r="G69" t="s">
        <v>675</v>
      </c>
      <c r="H69" t="s">
        <v>12</v>
      </c>
      <c r="I69">
        <v>24</v>
      </c>
      <c r="J69" s="1" t="s">
        <v>887</v>
      </c>
      <c r="L69" t="str">
        <f>IF($B69="","",IFERROR(_xlfn.XLOOKUP(_xlfn.TEXTJOIN(" ",TRUE,_xlfn._xlws.SORT(_xlfn.TEXTSPLIT(TRIM(UPPER($B69))," ",,TRUE),1,1,TRUE)),puestos!$C$2:$C$324,puestos!$B$2:$B$324),"SIN PUESTO"))</f>
        <v>BECARIO</v>
      </c>
    </row>
    <row r="70" spans="1:12" x14ac:dyDescent="0.35">
      <c r="A70">
        <v>10076</v>
      </c>
      <c r="B70" t="s">
        <v>185</v>
      </c>
      <c r="C70" t="s">
        <v>788</v>
      </c>
      <c r="D70" t="s">
        <v>506</v>
      </c>
      <c r="E70" t="s">
        <v>157</v>
      </c>
      <c r="F70" t="s">
        <v>657</v>
      </c>
      <c r="G70" t="s">
        <v>677</v>
      </c>
      <c r="H70" t="s">
        <v>12</v>
      </c>
      <c r="I70">
        <v>26</v>
      </c>
      <c r="J70" s="1" t="s">
        <v>888</v>
      </c>
      <c r="L70" t="str">
        <f>IF($B70="","",IFERROR(_xlfn.XLOOKUP(_xlfn.TEXTJOIN(" ",TRUE,_xlfn._xlws.SORT(_xlfn.TEXTSPLIT(TRIM(UPPER($B70))," ",,TRUE),1,1,TRUE)),puestos!$C$2:$C$324,puestos!$B$2:$B$324),"SIN PUESTO"))</f>
        <v>ANALISTA CUENTAS POR PAGAR</v>
      </c>
    </row>
    <row r="71" spans="1:12" x14ac:dyDescent="0.35">
      <c r="A71">
        <v>10078</v>
      </c>
      <c r="B71" t="s">
        <v>186</v>
      </c>
      <c r="C71" t="s">
        <v>789</v>
      </c>
      <c r="D71" t="s">
        <v>507</v>
      </c>
      <c r="E71" t="s">
        <v>133</v>
      </c>
      <c r="F71" t="s">
        <v>656</v>
      </c>
      <c r="G71" t="s">
        <v>669</v>
      </c>
      <c r="H71" t="s">
        <v>12</v>
      </c>
      <c r="I71">
        <v>26</v>
      </c>
      <c r="J71" s="1" t="s">
        <v>889</v>
      </c>
      <c r="L71" t="str">
        <f>IF($B71="","",IFERROR(_xlfn.XLOOKUP(_xlfn.TEXTJOIN(" ",TRUE,_xlfn._xlws.SORT(_xlfn.TEXTSPLIT(TRIM(UPPER($B71))," ",,TRUE),1,1,TRUE)),puestos!$C$2:$C$324,puestos!$B$2:$B$324),"SIN PUESTO"))</f>
        <v>LEADER MAYOREOFOOD SERVICE</v>
      </c>
    </row>
    <row r="72" spans="1:12" x14ac:dyDescent="0.35">
      <c r="A72">
        <v>10080</v>
      </c>
      <c r="B72" t="s">
        <v>187</v>
      </c>
      <c r="C72" t="s">
        <v>790</v>
      </c>
      <c r="D72" t="s">
        <v>508</v>
      </c>
      <c r="E72" t="s">
        <v>88</v>
      </c>
      <c r="F72" t="s">
        <v>658</v>
      </c>
      <c r="G72" t="s">
        <v>667</v>
      </c>
      <c r="H72" t="s">
        <v>12</v>
      </c>
      <c r="I72">
        <v>12</v>
      </c>
      <c r="J72" s="1" t="s">
        <v>890</v>
      </c>
      <c r="L72" t="str">
        <f>IF($B72="","",IFERROR(_xlfn.XLOOKUP(_xlfn.TEXTJOIN(" ",TRUE,_xlfn._xlws.SORT(_xlfn.TEXTSPLIT(TRIM(UPPER($B72))," ",,TRUE),1,1,TRUE)),puestos!$C$2:$C$324,puestos!$B$2:$B$324),"SIN PUESTO"))</f>
        <v>FACTURADOR</v>
      </c>
    </row>
    <row r="73" spans="1:12" x14ac:dyDescent="0.35">
      <c r="A73">
        <v>10081</v>
      </c>
      <c r="B73" t="s">
        <v>188</v>
      </c>
      <c r="C73" t="s">
        <v>791</v>
      </c>
      <c r="D73" t="s">
        <v>509</v>
      </c>
      <c r="E73" t="s">
        <v>88</v>
      </c>
      <c r="F73" t="s">
        <v>658</v>
      </c>
      <c r="G73" t="s">
        <v>667</v>
      </c>
      <c r="H73" t="s">
        <v>12</v>
      </c>
      <c r="I73">
        <v>7</v>
      </c>
      <c r="J73" s="1" t="s">
        <v>890</v>
      </c>
      <c r="L73" t="str">
        <f>IF($B73="","",IFERROR(_xlfn.XLOOKUP(_xlfn.TEXTJOIN(" ",TRUE,_xlfn._xlws.SORT(_xlfn.TEXTSPLIT(TRIM(UPPER($B73))," ",,TRUE),1,1,TRUE)),puestos!$C$2:$C$324,puestos!$B$2:$B$324),"SIN PUESTO"))</f>
        <v>FACTURADOR</v>
      </c>
    </row>
    <row r="74" spans="1:12" x14ac:dyDescent="0.35">
      <c r="A74">
        <v>10082</v>
      </c>
      <c r="B74" t="s">
        <v>189</v>
      </c>
      <c r="C74" t="s">
        <v>792</v>
      </c>
      <c r="D74" t="s">
        <v>510</v>
      </c>
      <c r="E74" t="s">
        <v>210</v>
      </c>
      <c r="F74" t="s">
        <v>660</v>
      </c>
      <c r="G74" t="s">
        <v>681</v>
      </c>
      <c r="H74" t="s">
        <v>12</v>
      </c>
      <c r="I74">
        <v>26</v>
      </c>
      <c r="J74" s="1" t="s">
        <v>891</v>
      </c>
      <c r="L74" t="str">
        <f>IF($B74="","",IFERROR(_xlfn.XLOOKUP(_xlfn.TEXTJOIN(" ",TRUE,_xlfn._xlws.SORT(_xlfn.TEXTSPLIT(TRIM(UPPER($B74))," ",,TRUE),1,1,TRUE)),puestos!$C$2:$C$324,puestos!$B$2:$B$324),"SIN PUESTO"))</f>
        <v>GERENTE DE MANUFACTURA</v>
      </c>
    </row>
    <row r="75" spans="1:12" x14ac:dyDescent="0.35">
      <c r="A75">
        <v>10083</v>
      </c>
      <c r="B75" t="s">
        <v>190</v>
      </c>
      <c r="C75" t="s">
        <v>793</v>
      </c>
      <c r="D75" t="s">
        <v>511</v>
      </c>
      <c r="E75" t="s">
        <v>192</v>
      </c>
      <c r="F75" t="s">
        <v>657</v>
      </c>
      <c r="G75" t="s">
        <v>657</v>
      </c>
      <c r="H75" t="s">
        <v>12</v>
      </c>
      <c r="I75">
        <v>12</v>
      </c>
      <c r="J75" s="1" t="s">
        <v>892</v>
      </c>
      <c r="L75" t="str">
        <f>IF($B75="","",IFERROR(_xlfn.XLOOKUP(_xlfn.TEXTJOIN(" ",TRUE,_xlfn._xlws.SORT(_xlfn.TEXTSPLIT(TRIM(UPPER($B75))," ",,TRUE),1,1,TRUE)),puestos!$C$2:$C$324,puestos!$B$2:$B$324),"SIN PUESTO"))</f>
        <v>CONTROLLER FINANCIERO</v>
      </c>
    </row>
    <row r="76" spans="1:12" x14ac:dyDescent="0.35">
      <c r="A76">
        <v>10084</v>
      </c>
      <c r="B76" t="s">
        <v>191</v>
      </c>
      <c r="C76" t="s">
        <v>794</v>
      </c>
      <c r="D76" t="s">
        <v>512</v>
      </c>
      <c r="E76" t="s">
        <v>210</v>
      </c>
      <c r="F76" t="s">
        <v>658</v>
      </c>
      <c r="G76" t="s">
        <v>668</v>
      </c>
      <c r="H76" t="s">
        <v>12</v>
      </c>
      <c r="I76">
        <v>12</v>
      </c>
      <c r="J76" s="1" t="s">
        <v>893</v>
      </c>
      <c r="L76" t="str">
        <f>IF($B76="","",IFERROR(_xlfn.XLOOKUP(_xlfn.TEXTJOIN(" ",TRUE,_xlfn._xlws.SORT(_xlfn.TEXTSPLIT(TRIM(UPPER($B76))," ",,TRUE),1,1,TRUE)),puestos!$C$2:$C$324,puestos!$B$2:$B$324),"SIN PUESTO"))</f>
        <v>JEFE DE EXPORTACIONES</v>
      </c>
    </row>
    <row r="77" spans="1:12" x14ac:dyDescent="0.35">
      <c r="A77">
        <v>10085</v>
      </c>
      <c r="B77" t="s">
        <v>192</v>
      </c>
      <c r="C77" t="s">
        <v>795</v>
      </c>
      <c r="D77" t="s">
        <v>513</v>
      </c>
      <c r="E77" t="s">
        <v>201</v>
      </c>
      <c r="F77" t="s">
        <v>657</v>
      </c>
      <c r="G77" t="s">
        <v>657</v>
      </c>
      <c r="H77" t="s">
        <v>12</v>
      </c>
      <c r="I77">
        <v>12</v>
      </c>
      <c r="J77" s="1" t="s">
        <v>894</v>
      </c>
      <c r="L77" t="str">
        <f>IF($B77="","",IFERROR(_xlfn.XLOOKUP(_xlfn.TEXTJOIN(" ",TRUE,_xlfn._xlws.SORT(_xlfn.TEXTSPLIT(TRIM(UPPER($B77))," ",,TRUE),1,1,TRUE)),puestos!$C$2:$C$324,puestos!$B$2:$B$324),"SIN PUESTO"))</f>
        <v>GERENTE FINANCIERO</v>
      </c>
    </row>
    <row r="78" spans="1:12" x14ac:dyDescent="0.35">
      <c r="A78">
        <v>10086</v>
      </c>
      <c r="B78" t="s">
        <v>193</v>
      </c>
      <c r="C78" t="s">
        <v>796</v>
      </c>
      <c r="D78" t="s">
        <v>514</v>
      </c>
      <c r="E78" t="s">
        <v>88</v>
      </c>
      <c r="F78" t="s">
        <v>658</v>
      </c>
      <c r="G78" t="s">
        <v>667</v>
      </c>
      <c r="H78" t="s">
        <v>12</v>
      </c>
      <c r="I78">
        <v>12</v>
      </c>
      <c r="J78" s="1" t="s">
        <v>895</v>
      </c>
      <c r="L78" t="str">
        <f>IF($B78="","",IFERROR(_xlfn.XLOOKUP(_xlfn.TEXTJOIN(" ",TRUE,_xlfn._xlws.SORT(_xlfn.TEXTSPLIT(TRIM(UPPER($B78))," ",,TRUE),1,1,TRUE)),puestos!$C$2:$C$324,puestos!$B$2:$B$324),"SIN PUESTO"))</f>
        <v>FACTURADOR</v>
      </c>
    </row>
    <row r="79" spans="1:12" x14ac:dyDescent="0.35">
      <c r="A79">
        <v>10087</v>
      </c>
      <c r="B79" t="s">
        <v>194</v>
      </c>
      <c r="D79" t="s">
        <v>515</v>
      </c>
      <c r="E79" t="s">
        <v>124</v>
      </c>
      <c r="F79" t="s">
        <v>658</v>
      </c>
      <c r="G79" t="s">
        <v>683</v>
      </c>
      <c r="H79" t="s">
        <v>823</v>
      </c>
      <c r="I79">
        <v>12</v>
      </c>
      <c r="J79" s="1" t="s">
        <v>896</v>
      </c>
      <c r="L79" t="str">
        <f>IF($B79="","",IFERROR(_xlfn.XLOOKUP(_xlfn.TEXTJOIN(" ",TRUE,_xlfn._xlws.SORT(_xlfn.TEXTSPLIT(TRIM(UPPER($B79))," ",,TRUE),1,1,TRUE)),puestos!$C$2:$C$324,puestos!$B$2:$B$324),"SIN PUESTO"))</f>
        <v>AUXILIAR DE LIMPIEZA</v>
      </c>
    </row>
    <row r="80" spans="1:12" x14ac:dyDescent="0.35">
      <c r="A80">
        <v>10090</v>
      </c>
      <c r="B80" t="s">
        <v>195</v>
      </c>
      <c r="D80" t="s">
        <v>516</v>
      </c>
      <c r="E80" t="s">
        <v>124</v>
      </c>
      <c r="F80" t="s">
        <v>658</v>
      </c>
      <c r="G80" t="s">
        <v>683</v>
      </c>
      <c r="H80" t="s">
        <v>823</v>
      </c>
      <c r="I80">
        <v>12</v>
      </c>
      <c r="J80" s="1" t="s">
        <v>897</v>
      </c>
      <c r="L80" t="str">
        <f>IF($B80="","",IFERROR(_xlfn.XLOOKUP(_xlfn.TEXTJOIN(" ",TRUE,_xlfn._xlws.SORT(_xlfn.TEXTSPLIT(TRIM(UPPER($B80))," ",,TRUE),1,1,TRUE)),puestos!$C$2:$C$324,puestos!$B$2:$B$324),"SIN PUESTO"))</f>
        <v>AUXILIAR DE LIMPIEZA</v>
      </c>
    </row>
    <row r="81" spans="1:12" x14ac:dyDescent="0.35">
      <c r="A81">
        <v>10091</v>
      </c>
      <c r="B81" t="s">
        <v>196</v>
      </c>
      <c r="C81" t="s">
        <v>797</v>
      </c>
      <c r="D81" t="s">
        <v>517</v>
      </c>
      <c r="E81" t="s">
        <v>201</v>
      </c>
      <c r="F81" t="s">
        <v>664</v>
      </c>
      <c r="G81" t="s">
        <v>664</v>
      </c>
      <c r="H81" t="s">
        <v>12</v>
      </c>
      <c r="I81">
        <v>12</v>
      </c>
      <c r="J81" s="1" t="s">
        <v>898</v>
      </c>
      <c r="L81" t="str">
        <f>IF($B81="","",IFERROR(_xlfn.XLOOKUP(_xlfn.TEXTJOIN(" ",TRUE,_xlfn._xlws.SORT(_xlfn.TEXTSPLIT(TRIM(UPPER($B81))," ",,TRUE),1,1,TRUE)),puestos!$C$2:$C$324,puestos!$B$2:$B$324),"SIN PUESTO"))</f>
        <v>GERENTE DE MARKETING</v>
      </c>
    </row>
    <row r="82" spans="1:12" x14ac:dyDescent="0.35">
      <c r="A82">
        <v>10092</v>
      </c>
      <c r="B82" t="s">
        <v>197</v>
      </c>
      <c r="C82" t="s">
        <v>798</v>
      </c>
      <c r="D82" t="s">
        <v>518</v>
      </c>
      <c r="E82" t="s">
        <v>88</v>
      </c>
      <c r="F82" t="s">
        <v>658</v>
      </c>
      <c r="G82" t="s">
        <v>667</v>
      </c>
      <c r="H82" t="s">
        <v>12</v>
      </c>
      <c r="I82">
        <v>12</v>
      </c>
      <c r="J82" s="1" t="s">
        <v>899</v>
      </c>
      <c r="L82" t="str">
        <f>IF($B82="","",IFERROR(_xlfn.XLOOKUP(_xlfn.TEXTJOIN(" ",TRUE,_xlfn._xlws.SORT(_xlfn.TEXTSPLIT(TRIM(UPPER($B82))," ",,TRUE),1,1,TRUE)),puestos!$C$2:$C$324,puestos!$B$2:$B$324),"SIN PUESTO"))</f>
        <v>COORDINADOR DE FACTURACION</v>
      </c>
    </row>
    <row r="83" spans="1:12" x14ac:dyDescent="0.35">
      <c r="A83">
        <v>10093</v>
      </c>
      <c r="B83" t="s">
        <v>198</v>
      </c>
      <c r="C83" t="s">
        <v>799</v>
      </c>
      <c r="D83" t="s">
        <v>519</v>
      </c>
      <c r="E83" t="s">
        <v>182</v>
      </c>
      <c r="F83" t="s">
        <v>657</v>
      </c>
      <c r="G83" t="s">
        <v>676</v>
      </c>
      <c r="H83" t="s">
        <v>12</v>
      </c>
      <c r="I83">
        <v>12</v>
      </c>
      <c r="J83" s="1" t="s">
        <v>900</v>
      </c>
      <c r="L83" t="str">
        <f>IF($B83="","",IFERROR(_xlfn.XLOOKUP(_xlfn.TEXTJOIN(" ",TRUE,_xlfn._xlws.SORT(_xlfn.TEXTSPLIT(TRIM(UPPER($B83))," ",,TRUE),1,1,TRUE)),puestos!$C$2:$C$324,puestos!$B$2:$B$324),"SIN PUESTO"))</f>
        <v>ANALISTA FISCAL</v>
      </c>
    </row>
    <row r="84" spans="1:12" x14ac:dyDescent="0.35">
      <c r="A84">
        <v>10095</v>
      </c>
      <c r="B84" t="s">
        <v>199</v>
      </c>
      <c r="D84" t="s">
        <v>520</v>
      </c>
      <c r="E84" t="s">
        <v>26</v>
      </c>
      <c r="F84" t="s">
        <v>658</v>
      </c>
      <c r="G84" t="s">
        <v>668</v>
      </c>
      <c r="H84" t="s">
        <v>823</v>
      </c>
      <c r="I84">
        <v>12</v>
      </c>
      <c r="J84" s="1" t="s">
        <v>901</v>
      </c>
      <c r="L84" t="str">
        <f>IF($B84="","",IFERROR(_xlfn.XLOOKUP(_xlfn.TEXTJOIN(" ",TRUE,_xlfn._xlws.SORT(_xlfn.TEXTSPLIT(TRIM(UPPER($B84))," ",,TRUE),1,1,TRUE)),puestos!$C$2:$C$324,puestos!$B$2:$B$324),"SIN PUESTO"))</f>
        <v>CHOFER</v>
      </c>
    </row>
    <row r="85" spans="1:12" x14ac:dyDescent="0.35">
      <c r="A85">
        <v>10096</v>
      </c>
      <c r="B85" t="s">
        <v>200</v>
      </c>
      <c r="C85" t="s">
        <v>800</v>
      </c>
      <c r="D85" t="s">
        <v>521</v>
      </c>
      <c r="E85" t="s">
        <v>655</v>
      </c>
      <c r="F85" t="s">
        <v>663</v>
      </c>
      <c r="G85" t="s">
        <v>682</v>
      </c>
      <c r="H85" t="s">
        <v>12</v>
      </c>
      <c r="I85">
        <v>12</v>
      </c>
      <c r="J85" s="1" t="s">
        <v>902</v>
      </c>
      <c r="L85" t="str">
        <f>IF($B85="","",IFERROR(_xlfn.XLOOKUP(_xlfn.TEXTJOIN(" ",TRUE,_xlfn._xlws.SORT(_xlfn.TEXTSPLIT(TRIM(UPPER($B85))," ",,TRUE),1,1,TRUE)),puestos!$C$2:$C$324,puestos!$B$2:$B$324),"SIN PUESTO"))</f>
        <v>ESPECIALISTA JURIDICO</v>
      </c>
    </row>
    <row r="86" spans="1:12" x14ac:dyDescent="0.35">
      <c r="A86">
        <v>10097</v>
      </c>
      <c r="B86" t="s">
        <v>201</v>
      </c>
      <c r="C86" t="s">
        <v>801</v>
      </c>
      <c r="D86" t="s">
        <v>522</v>
      </c>
      <c r="E86" t="s">
        <v>201</v>
      </c>
      <c r="F86" t="s">
        <v>665</v>
      </c>
      <c r="G86" t="s">
        <v>686</v>
      </c>
      <c r="H86" t="s">
        <v>12</v>
      </c>
      <c r="I86">
        <v>12</v>
      </c>
      <c r="J86" s="1" t="s">
        <v>903</v>
      </c>
      <c r="L86" t="str">
        <f>IF($B86="","",IFERROR(_xlfn.XLOOKUP(_xlfn.TEXTJOIN(" ",TRUE,_xlfn._xlws.SORT(_xlfn.TEXTSPLIT(TRIM(UPPER($B86))," ",,TRUE),1,1,TRUE)),puestos!$C$2:$C$324,puestos!$B$2:$B$324),"SIN PUESTO"))</f>
        <v>GERENTE GENERAL</v>
      </c>
    </row>
    <row r="87" spans="1:12" x14ac:dyDescent="0.35">
      <c r="A87">
        <v>10098</v>
      </c>
      <c r="B87" t="s">
        <v>202</v>
      </c>
      <c r="C87" t="s">
        <v>802</v>
      </c>
      <c r="D87" t="s">
        <v>523</v>
      </c>
      <c r="E87" t="s">
        <v>62</v>
      </c>
      <c r="F87" t="s">
        <v>657</v>
      </c>
      <c r="G87" t="s">
        <v>675</v>
      </c>
      <c r="H87" t="s">
        <v>12</v>
      </c>
      <c r="I87">
        <v>5</v>
      </c>
      <c r="J87" s="1" t="s">
        <v>904</v>
      </c>
      <c r="L87" t="str">
        <f>IF($B87="","",IFERROR(_xlfn.XLOOKUP(_xlfn.TEXTJOIN(" ",TRUE,_xlfn._xlws.SORT(_xlfn.TEXTSPLIT(TRIM(UPPER($B87))," ",,TRUE),1,1,TRUE)),puestos!$C$2:$C$324,puestos!$B$2:$B$324),"SIN PUESTO"))</f>
        <v>COORDINADOR CONTABLE</v>
      </c>
    </row>
    <row r="88" spans="1:12" x14ac:dyDescent="0.35">
      <c r="A88">
        <v>10100</v>
      </c>
      <c r="B88" t="s">
        <v>203</v>
      </c>
      <c r="C88" t="s">
        <v>803</v>
      </c>
      <c r="D88" t="s">
        <v>524</v>
      </c>
      <c r="E88" t="s">
        <v>192</v>
      </c>
      <c r="F88" t="s">
        <v>657</v>
      </c>
      <c r="G88" t="s">
        <v>673</v>
      </c>
      <c r="H88" t="s">
        <v>12</v>
      </c>
      <c r="I88">
        <v>22</v>
      </c>
      <c r="J88" s="1" t="s">
        <v>905</v>
      </c>
      <c r="L88" t="str">
        <f>IF($B88="","",IFERROR(_xlfn.XLOOKUP(_xlfn.TEXTJOIN(" ",TRUE,_xlfn._xlws.SORT(_xlfn.TEXTSPLIT(TRIM(UPPER($B88))," ",,TRUE),1,1,TRUE)),puestos!$C$2:$C$324,puestos!$B$2:$B$324),"SIN PUESTO"))</f>
        <v>PROGRAMADOR SR</v>
      </c>
    </row>
    <row r="89" spans="1:12" x14ac:dyDescent="0.35">
      <c r="A89">
        <v>10101</v>
      </c>
      <c r="B89" t="s">
        <v>204</v>
      </c>
      <c r="C89" t="s">
        <v>804</v>
      </c>
      <c r="D89" t="s">
        <v>525</v>
      </c>
      <c r="E89" t="s">
        <v>333</v>
      </c>
      <c r="F89" t="s">
        <v>659</v>
      </c>
      <c r="G89" t="s">
        <v>671</v>
      </c>
      <c r="H89" t="s">
        <v>12</v>
      </c>
      <c r="I89">
        <v>38</v>
      </c>
      <c r="J89" s="1" t="s">
        <v>906</v>
      </c>
      <c r="K89" t="s">
        <v>1008</v>
      </c>
      <c r="L89" t="str">
        <f>IF($B89="","",IFERROR(_xlfn.XLOOKUP(_xlfn.TEXTJOIN(" ",TRUE,_xlfn._xlws.SORT(_xlfn.TEXTSPLIT(TRIM(UPPER($B89))," ",,TRUE),1,1,TRUE)),puestos!$C$2:$C$324,puestos!$B$2:$B$324),"SIN PUESTO"))</f>
        <v>COORDINADOR DE DESARROLLO &amp; GESTIÓN</v>
      </c>
    </row>
    <row r="90" spans="1:12" x14ac:dyDescent="0.35">
      <c r="A90">
        <v>10102</v>
      </c>
      <c r="B90" t="s">
        <v>205</v>
      </c>
      <c r="C90" t="s">
        <v>805</v>
      </c>
      <c r="D90" t="s">
        <v>526</v>
      </c>
      <c r="E90" t="s">
        <v>21</v>
      </c>
      <c r="F90" t="s">
        <v>657</v>
      </c>
      <c r="G90" t="s">
        <v>670</v>
      </c>
      <c r="H90" t="s">
        <v>12</v>
      </c>
      <c r="I90">
        <v>40</v>
      </c>
      <c r="J90" s="1">
        <v>46139</v>
      </c>
      <c r="L90" t="str">
        <f>IF($B90="","",IFERROR(_xlfn.XLOOKUP(_xlfn.TEXTJOIN(" ",TRUE,_xlfn._xlws.SORT(_xlfn.TEXTSPLIT(TRIM(UPPER($B90))," ",,TRUE),1,1,TRUE)),puestos!$C$2:$C$324,puestos!$B$2:$B$324),"SIN PUESTO"))</f>
        <v>ANALISTA DE CUENTAS POR COBRAR</v>
      </c>
    </row>
    <row r="91" spans="1:12" x14ac:dyDescent="0.35">
      <c r="A91">
        <v>10104</v>
      </c>
      <c r="B91" t="s">
        <v>206</v>
      </c>
      <c r="C91" t="s">
        <v>806</v>
      </c>
      <c r="D91" t="s">
        <v>527</v>
      </c>
      <c r="E91" t="s">
        <v>182</v>
      </c>
      <c r="F91" t="s">
        <v>657</v>
      </c>
      <c r="G91" t="s">
        <v>676</v>
      </c>
      <c r="H91" t="s">
        <v>12</v>
      </c>
      <c r="I91">
        <v>31</v>
      </c>
      <c r="J91" s="1">
        <v>46331</v>
      </c>
      <c r="L91" t="str">
        <f>IF($B91="","",IFERROR(_xlfn.XLOOKUP(_xlfn.TEXTJOIN(" ",TRUE,_xlfn._xlws.SORT(_xlfn.TEXTSPLIT(TRIM(UPPER($B91))," ",,TRUE),1,1,TRUE)),puestos!$C$2:$C$324,puestos!$B$2:$B$324),"SIN PUESTO"))</f>
        <v xml:space="preserve">ANALISTA DE IMPUESTOS </v>
      </c>
    </row>
    <row r="92" spans="1:12" x14ac:dyDescent="0.35">
      <c r="A92">
        <v>10105</v>
      </c>
      <c r="B92" t="s">
        <v>207</v>
      </c>
      <c r="D92" t="s">
        <v>528</v>
      </c>
      <c r="E92" t="s">
        <v>192</v>
      </c>
      <c r="F92" t="s">
        <v>665</v>
      </c>
      <c r="G92" t="s">
        <v>687</v>
      </c>
      <c r="H92" t="s">
        <v>12</v>
      </c>
      <c r="I92">
        <v>19</v>
      </c>
      <c r="J92" s="1">
        <v>46188</v>
      </c>
      <c r="L92" t="str">
        <f>IF($B92="","",IFERROR(_xlfn.XLOOKUP(_xlfn.TEXTJOIN(" ",TRUE,_xlfn._xlws.SORT(_xlfn.TEXTSPLIT(TRIM(UPPER($B92))," ",,TRUE),1,1,TRUE)),puestos!$C$2:$C$324,puestos!$B$2:$B$324),"SIN PUESTO"))</f>
        <v xml:space="preserve">ESPECIALISTA CONTROL INTERNO </v>
      </c>
    </row>
    <row r="93" spans="1:12" x14ac:dyDescent="0.35">
      <c r="A93">
        <v>10108</v>
      </c>
      <c r="B93" t="s">
        <v>208</v>
      </c>
      <c r="C93" t="s">
        <v>807</v>
      </c>
      <c r="D93" t="s">
        <v>529</v>
      </c>
      <c r="E93" t="s">
        <v>655</v>
      </c>
      <c r="F93" t="s">
        <v>663</v>
      </c>
      <c r="G93" t="s">
        <v>682</v>
      </c>
      <c r="H93" t="s">
        <v>12</v>
      </c>
      <c r="I93">
        <v>40</v>
      </c>
      <c r="J93" s="1">
        <v>46188</v>
      </c>
      <c r="L93" t="str">
        <f>IF($B93="","",IFERROR(_xlfn.XLOOKUP(_xlfn.TEXTJOIN(" ",TRUE,_xlfn._xlws.SORT(_xlfn.TEXTSPLIT(TRIM(UPPER($B93))," ",,TRUE),1,1,TRUE)),puestos!$C$2:$C$324,puestos!$B$2:$B$324),"SIN PUESTO"))</f>
        <v xml:space="preserve">ANALISTA DE LEGAL </v>
      </c>
    </row>
    <row r="94" spans="1:12" x14ac:dyDescent="0.35">
      <c r="A94">
        <v>10109</v>
      </c>
      <c r="B94" t="s">
        <v>209</v>
      </c>
      <c r="C94" t="s">
        <v>808</v>
      </c>
      <c r="D94" t="s">
        <v>530</v>
      </c>
      <c r="E94" t="s">
        <v>178</v>
      </c>
      <c r="F94" t="s">
        <v>662</v>
      </c>
      <c r="G94" t="s">
        <v>662</v>
      </c>
      <c r="H94" t="s">
        <v>12</v>
      </c>
      <c r="I94">
        <v>78</v>
      </c>
      <c r="J94" s="1">
        <v>46188</v>
      </c>
      <c r="L94" t="str">
        <f>IF($B94="","",IFERROR(_xlfn.XLOOKUP(_xlfn.TEXTJOIN(" ",TRUE,_xlfn._xlws.SORT(_xlfn.TEXTSPLIT(TRIM(UPPER($B94))," ",,TRUE),1,1,TRUE)),puestos!$C$2:$C$324,puestos!$B$2:$B$324),"SIN PUESTO"))</f>
        <v>ESPECIALISTA DE COMPRAS</v>
      </c>
    </row>
    <row r="95" spans="1:12" x14ac:dyDescent="0.35">
      <c r="A95">
        <v>10110</v>
      </c>
      <c r="B95" t="s">
        <v>210</v>
      </c>
      <c r="C95" t="s">
        <v>809</v>
      </c>
      <c r="D95" t="s">
        <v>531</v>
      </c>
      <c r="E95" t="s">
        <v>201</v>
      </c>
      <c r="F95" t="s">
        <v>658</v>
      </c>
      <c r="G95" t="s">
        <v>668</v>
      </c>
      <c r="H95" t="s">
        <v>12</v>
      </c>
      <c r="I95">
        <v>34</v>
      </c>
      <c r="J95" s="1">
        <v>46174</v>
      </c>
      <c r="L95" t="str">
        <f>IF($B95="","",IFERROR(_xlfn.XLOOKUP(_xlfn.TEXTJOIN(" ",TRUE,_xlfn._xlws.SORT(_xlfn.TEXTSPLIT(TRIM(UPPER($B95))," ",,TRUE),1,1,TRUE)),puestos!$C$2:$C$324,puestos!$B$2:$B$324),"SIN PUESTO"))</f>
        <v>DIRECTOR DE SUPPLY CHAIN</v>
      </c>
    </row>
    <row r="96" spans="1:12" x14ac:dyDescent="0.35">
      <c r="A96">
        <v>20001</v>
      </c>
      <c r="B96" t="s">
        <v>211</v>
      </c>
      <c r="D96" t="s">
        <v>532</v>
      </c>
      <c r="E96" t="s">
        <v>263</v>
      </c>
      <c r="F96" t="s">
        <v>660</v>
      </c>
      <c r="G96" t="s">
        <v>688</v>
      </c>
      <c r="H96" t="s">
        <v>823</v>
      </c>
      <c r="I96">
        <v>33</v>
      </c>
      <c r="J96" s="1" t="s">
        <v>907</v>
      </c>
      <c r="L96" t="str">
        <f>IF($B96="","",IFERROR(_xlfn.XLOOKUP(_xlfn.TEXTJOIN(" ",TRUE,_xlfn._xlws.SORT(_xlfn.TEXTSPLIT(TRIM(UPPER($B96))," ",,TRUE),1,1,TRUE)),puestos!$C$2:$C$324,puestos!$B$2:$B$324),"SIN PUESTO"))</f>
        <v>INSPECTOR DE CALIDAD</v>
      </c>
    </row>
    <row r="97" spans="1:12" x14ac:dyDescent="0.35">
      <c r="A97">
        <v>20002</v>
      </c>
      <c r="B97" t="s">
        <v>212</v>
      </c>
      <c r="D97" t="s">
        <v>533</v>
      </c>
      <c r="E97" t="s">
        <v>289</v>
      </c>
      <c r="F97" t="s">
        <v>660</v>
      </c>
      <c r="G97" t="s">
        <v>689</v>
      </c>
      <c r="H97" t="s">
        <v>823</v>
      </c>
      <c r="I97">
        <v>20</v>
      </c>
      <c r="J97" s="1" t="s">
        <v>908</v>
      </c>
      <c r="L97" t="str">
        <f>IF($B97="","",IFERROR(_xlfn.XLOOKUP(_xlfn.TEXTJOIN(" ",TRUE,_xlfn._xlws.SORT(_xlfn.TEXTSPLIT(TRIM(UPPER($B97))," ",,TRUE),1,1,TRUE)),puestos!$C$2:$C$324,puestos!$B$2:$B$324),"SIN PUESTO"))</f>
        <v>COORDINADOR DE MANTENIMIENTO</v>
      </c>
    </row>
    <row r="98" spans="1:12" x14ac:dyDescent="0.35">
      <c r="A98">
        <v>20003</v>
      </c>
      <c r="B98" t="s">
        <v>213</v>
      </c>
      <c r="D98" t="s">
        <v>534</v>
      </c>
      <c r="E98" t="s">
        <v>126</v>
      </c>
      <c r="F98" t="s">
        <v>660</v>
      </c>
      <c r="G98" t="s">
        <v>681</v>
      </c>
      <c r="H98" t="s">
        <v>823</v>
      </c>
      <c r="I98">
        <v>38</v>
      </c>
      <c r="J98" s="1" t="s">
        <v>908</v>
      </c>
      <c r="L98" t="str">
        <f>IF($B98="","",IFERROR(_xlfn.XLOOKUP(_xlfn.TEXTJOIN(" ",TRUE,_xlfn._xlws.SORT(_xlfn.TEXTSPLIT(TRIM(UPPER($B98))," ",,TRUE),1,1,TRUE)),puestos!$C$2:$C$324,puestos!$B$2:$B$324),"SIN PUESTO"))</f>
        <v xml:space="preserve">COORDINADOR DE PRODUCCION </v>
      </c>
    </row>
    <row r="99" spans="1:12" x14ac:dyDescent="0.35">
      <c r="A99">
        <v>20004</v>
      </c>
      <c r="B99" t="s">
        <v>214</v>
      </c>
      <c r="D99" t="s">
        <v>535</v>
      </c>
      <c r="E99" t="s">
        <v>263</v>
      </c>
      <c r="F99" t="s">
        <v>660</v>
      </c>
      <c r="G99" t="s">
        <v>688</v>
      </c>
      <c r="H99" t="s">
        <v>823</v>
      </c>
      <c r="I99">
        <v>36</v>
      </c>
      <c r="J99" s="1" t="s">
        <v>909</v>
      </c>
      <c r="L99" t="str">
        <f>IF($B99="","",IFERROR(_xlfn.XLOOKUP(_xlfn.TEXTJOIN(" ",TRUE,_xlfn._xlws.SORT(_xlfn.TEXTSPLIT(TRIM(UPPER($B99))," ",,TRUE),1,1,TRUE)),puestos!$C$2:$C$324,puestos!$B$2:$B$324),"SIN PUESTO"))</f>
        <v>INSPECTOR DE CALIDAD</v>
      </c>
    </row>
    <row r="100" spans="1:12" x14ac:dyDescent="0.35">
      <c r="A100">
        <v>20005</v>
      </c>
      <c r="B100" t="s">
        <v>215</v>
      </c>
      <c r="C100" t="s">
        <v>810</v>
      </c>
      <c r="D100" t="s">
        <v>536</v>
      </c>
      <c r="E100" t="s">
        <v>189</v>
      </c>
      <c r="F100" t="s">
        <v>660</v>
      </c>
      <c r="G100" t="s">
        <v>672</v>
      </c>
      <c r="H100" t="s">
        <v>12</v>
      </c>
      <c r="I100">
        <v>34</v>
      </c>
      <c r="J100" s="1" t="s">
        <v>910</v>
      </c>
      <c r="L100" t="str">
        <f>IF($B100="","",IFERROR(_xlfn.XLOOKUP(_xlfn.TEXTJOIN(" ",TRUE,_xlfn._xlws.SORT(_xlfn.TEXTSPLIT(TRIM(UPPER($B100))," ",,TRUE),1,1,TRUE)),puestos!$C$2:$C$324,puestos!$B$2:$B$324),"SIN PUESTO"))</f>
        <v>ANALISTA DE COSTOS</v>
      </c>
    </row>
    <row r="101" spans="1:12" x14ac:dyDescent="0.35">
      <c r="A101">
        <v>20006</v>
      </c>
      <c r="B101" t="s">
        <v>216</v>
      </c>
      <c r="D101" t="s">
        <v>537</v>
      </c>
      <c r="E101" t="s">
        <v>299</v>
      </c>
      <c r="F101" t="s">
        <v>660</v>
      </c>
      <c r="G101" t="s">
        <v>690</v>
      </c>
      <c r="H101" t="s">
        <v>823</v>
      </c>
      <c r="I101">
        <v>35</v>
      </c>
      <c r="J101" s="1" t="s">
        <v>911</v>
      </c>
      <c r="L101" t="str">
        <f>IF($B101="","",IFERROR(_xlfn.XLOOKUP(_xlfn.TEXTJOIN(" ",TRUE,_xlfn._xlws.SORT(_xlfn.TEXTSPLIT(TRIM(UPPER($B101))," ",,TRUE),1,1,TRUE)),puestos!$C$2:$C$324,puestos!$B$2:$B$324),"SIN PUESTO"))</f>
        <v>LIDER DE GRUPO A</v>
      </c>
    </row>
    <row r="102" spans="1:12" x14ac:dyDescent="0.35">
      <c r="A102">
        <v>20007</v>
      </c>
      <c r="B102" t="s">
        <v>217</v>
      </c>
      <c r="D102" t="s">
        <v>538</v>
      </c>
      <c r="E102" t="s">
        <v>299</v>
      </c>
      <c r="F102" t="s">
        <v>660</v>
      </c>
      <c r="G102" t="s">
        <v>690</v>
      </c>
      <c r="H102" t="s">
        <v>823</v>
      </c>
      <c r="I102">
        <v>33</v>
      </c>
      <c r="J102" s="1" t="s">
        <v>912</v>
      </c>
      <c r="L102" t="str">
        <f>IF($B102="","",IFERROR(_xlfn.XLOOKUP(_xlfn.TEXTJOIN(" ",TRUE,_xlfn._xlws.SORT(_xlfn.TEXTSPLIT(TRIM(UPPER($B102))," ",,TRUE),1,1,TRUE)),puestos!$C$2:$C$324,puestos!$B$2:$B$324),"SIN PUESTO"))</f>
        <v>AYUDANTE GENERAL A</v>
      </c>
    </row>
    <row r="103" spans="1:12" x14ac:dyDescent="0.35">
      <c r="A103">
        <v>20008</v>
      </c>
      <c r="B103" t="s">
        <v>218</v>
      </c>
      <c r="D103" t="s">
        <v>539</v>
      </c>
      <c r="E103" t="s">
        <v>299</v>
      </c>
      <c r="F103" t="s">
        <v>660</v>
      </c>
      <c r="G103" t="s">
        <v>690</v>
      </c>
      <c r="H103" t="s">
        <v>823</v>
      </c>
      <c r="I103">
        <v>23</v>
      </c>
      <c r="J103" s="1" t="s">
        <v>913</v>
      </c>
      <c r="L103" t="str">
        <f>IF($B103="","",IFERROR(_xlfn.XLOOKUP(_xlfn.TEXTJOIN(" ",TRUE,_xlfn._xlws.SORT(_xlfn.TEXTSPLIT(TRIM(UPPER($B103))," ",,TRUE),1,1,TRUE)),puestos!$C$2:$C$324,puestos!$B$2:$B$324),"SIN PUESTO"))</f>
        <v>AYUDANTE GENERAL A</v>
      </c>
    </row>
    <row r="104" spans="1:12" x14ac:dyDescent="0.35">
      <c r="A104">
        <v>20009</v>
      </c>
      <c r="B104" t="s">
        <v>219</v>
      </c>
      <c r="C104" t="s">
        <v>811</v>
      </c>
      <c r="D104" t="s">
        <v>540</v>
      </c>
      <c r="E104" t="s">
        <v>268</v>
      </c>
      <c r="F104" t="s">
        <v>658</v>
      </c>
      <c r="G104" t="s">
        <v>691</v>
      </c>
      <c r="H104" t="s">
        <v>12</v>
      </c>
      <c r="I104">
        <v>5</v>
      </c>
      <c r="J104" s="1" t="s">
        <v>914</v>
      </c>
      <c r="L104" t="str">
        <f>IF($B104="","",IFERROR(_xlfn.XLOOKUP(_xlfn.TEXTJOIN(" ",TRUE,_xlfn._xlws.SORT(_xlfn.TEXTSPLIT(TRIM(UPPER($B104))," ",,TRUE),1,1,TRUE)),puestos!$C$2:$C$324,puestos!$B$2:$B$324),"SIN PUESTO"))</f>
        <v>COORDINADOR DE BODEGA</v>
      </c>
    </row>
    <row r="105" spans="1:12" x14ac:dyDescent="0.35">
      <c r="A105">
        <v>20010</v>
      </c>
      <c r="B105" t="s">
        <v>220</v>
      </c>
      <c r="D105" t="s">
        <v>541</v>
      </c>
      <c r="E105" t="s">
        <v>299</v>
      </c>
      <c r="F105" t="s">
        <v>660</v>
      </c>
      <c r="G105" t="s">
        <v>690</v>
      </c>
      <c r="H105" t="s">
        <v>823</v>
      </c>
      <c r="I105">
        <v>51</v>
      </c>
      <c r="J105" s="1" t="s">
        <v>915</v>
      </c>
      <c r="L105" t="str">
        <f>IF($B105="","",IFERROR(_xlfn.XLOOKUP(_xlfn.TEXTJOIN(" ",TRUE,_xlfn._xlws.SORT(_xlfn.TEXTSPLIT(TRIM(UPPER($B105))," ",,TRUE),1,1,TRUE)),puestos!$C$2:$C$324,puestos!$B$2:$B$324),"SIN PUESTO"))</f>
        <v>LIDER DE GRUPO A</v>
      </c>
    </row>
    <row r="106" spans="1:12" x14ac:dyDescent="0.35">
      <c r="A106">
        <v>20011</v>
      </c>
      <c r="B106" t="s">
        <v>221</v>
      </c>
      <c r="D106" t="s">
        <v>542</v>
      </c>
      <c r="E106" t="s">
        <v>299</v>
      </c>
      <c r="F106" t="s">
        <v>660</v>
      </c>
      <c r="G106" t="s">
        <v>690</v>
      </c>
      <c r="H106" t="s">
        <v>823</v>
      </c>
      <c r="I106">
        <v>35</v>
      </c>
      <c r="J106" s="1" t="s">
        <v>916</v>
      </c>
      <c r="L106" t="str">
        <f>IF($B106="","",IFERROR(_xlfn.XLOOKUP(_xlfn.TEXTJOIN(" ",TRUE,_xlfn._xlws.SORT(_xlfn.TEXTSPLIT(TRIM(UPPER($B106))," ",,TRUE),1,1,TRUE)),puestos!$C$2:$C$324,puestos!$B$2:$B$324),"SIN PUESTO"))</f>
        <v>LIDER DE GRUPO A</v>
      </c>
    </row>
    <row r="107" spans="1:12" x14ac:dyDescent="0.35">
      <c r="A107">
        <v>20012</v>
      </c>
      <c r="B107" t="s">
        <v>222</v>
      </c>
      <c r="D107" t="s">
        <v>543</v>
      </c>
      <c r="E107" t="s">
        <v>299</v>
      </c>
      <c r="F107" t="s">
        <v>660</v>
      </c>
      <c r="G107" t="s">
        <v>690</v>
      </c>
      <c r="H107" t="s">
        <v>823</v>
      </c>
      <c r="I107">
        <v>40</v>
      </c>
      <c r="J107" s="1" t="s">
        <v>917</v>
      </c>
      <c r="L107" t="str">
        <f>IF($B107="","",IFERROR(_xlfn.XLOOKUP(_xlfn.TEXTJOIN(" ",TRUE,_xlfn._xlws.SORT(_xlfn.TEXTSPLIT(TRIM(UPPER($B107))," ",,TRUE),1,1,TRUE)),puestos!$C$2:$C$324,puestos!$B$2:$B$324),"SIN PUESTO"))</f>
        <v>AYUDANTE GENERAL A</v>
      </c>
    </row>
    <row r="108" spans="1:12" x14ac:dyDescent="0.35">
      <c r="A108">
        <v>20013</v>
      </c>
      <c r="B108" t="s">
        <v>223</v>
      </c>
      <c r="D108" t="s">
        <v>544</v>
      </c>
      <c r="E108" t="s">
        <v>299</v>
      </c>
      <c r="F108" t="s">
        <v>660</v>
      </c>
      <c r="G108" t="s">
        <v>690</v>
      </c>
      <c r="H108" t="s">
        <v>823</v>
      </c>
      <c r="I108">
        <v>47</v>
      </c>
      <c r="J108" s="1" t="s">
        <v>918</v>
      </c>
      <c r="L108" t="str">
        <f>IF($B108="","",IFERROR(_xlfn.XLOOKUP(_xlfn.TEXTJOIN(" ",TRUE,_xlfn._xlws.SORT(_xlfn.TEXTSPLIT(TRIM(UPPER($B108))," ",,TRUE),1,1,TRUE)),puestos!$C$2:$C$324,puestos!$B$2:$B$324),"SIN PUESTO"))</f>
        <v>AYUDANTE GENERAL A</v>
      </c>
    </row>
    <row r="109" spans="1:12" x14ac:dyDescent="0.35">
      <c r="A109">
        <v>20015</v>
      </c>
      <c r="B109" t="s">
        <v>224</v>
      </c>
      <c r="D109" t="s">
        <v>545</v>
      </c>
      <c r="E109" t="s">
        <v>299</v>
      </c>
      <c r="F109" t="s">
        <v>660</v>
      </c>
      <c r="G109" t="s">
        <v>690</v>
      </c>
      <c r="H109" t="s">
        <v>823</v>
      </c>
      <c r="I109">
        <v>47</v>
      </c>
      <c r="J109" s="1" t="s">
        <v>919</v>
      </c>
      <c r="L109" t="str">
        <f>IF($B109="","",IFERROR(_xlfn.XLOOKUP(_xlfn.TEXTJOIN(" ",TRUE,_xlfn._xlws.SORT(_xlfn.TEXTSPLIT(TRIM(UPPER($B109))," ",,TRUE),1,1,TRUE)),puestos!$C$2:$C$324,puestos!$B$2:$B$324),"SIN PUESTO"))</f>
        <v>AYUDANTE GENERAL A</v>
      </c>
    </row>
    <row r="110" spans="1:12" x14ac:dyDescent="0.35">
      <c r="A110">
        <v>20016</v>
      </c>
      <c r="B110" t="s">
        <v>225</v>
      </c>
      <c r="D110" t="s">
        <v>546</v>
      </c>
      <c r="E110" t="s">
        <v>299</v>
      </c>
      <c r="F110" t="s">
        <v>660</v>
      </c>
      <c r="G110" t="s">
        <v>690</v>
      </c>
      <c r="H110" t="s">
        <v>823</v>
      </c>
      <c r="I110">
        <v>53</v>
      </c>
      <c r="J110" s="1" t="s">
        <v>920</v>
      </c>
      <c r="L110" t="str">
        <f>IF($B110="","",IFERROR(_xlfn.XLOOKUP(_xlfn.TEXTJOIN(" ",TRUE,_xlfn._xlws.SORT(_xlfn.TEXTSPLIT(TRIM(UPPER($B110))," ",,TRUE),1,1,TRUE)),puestos!$C$2:$C$324,puestos!$B$2:$B$324),"SIN PUESTO"))</f>
        <v>AYUDANTE GENERAL A</v>
      </c>
    </row>
    <row r="111" spans="1:12" x14ac:dyDescent="0.35">
      <c r="A111">
        <v>20017</v>
      </c>
      <c r="B111" t="s">
        <v>226</v>
      </c>
      <c r="D111" t="s">
        <v>547</v>
      </c>
      <c r="E111" t="s">
        <v>268</v>
      </c>
      <c r="F111" t="s">
        <v>658</v>
      </c>
      <c r="G111" t="s">
        <v>691</v>
      </c>
      <c r="H111" t="s">
        <v>823</v>
      </c>
      <c r="I111">
        <v>30</v>
      </c>
      <c r="J111" s="1" t="s">
        <v>921</v>
      </c>
      <c r="L111" t="str">
        <f>IF($B111="","",IFERROR(_xlfn.XLOOKUP(_xlfn.TEXTJOIN(" ",TRUE,_xlfn._xlws.SORT(_xlfn.TEXTSPLIT(TRIM(UPPER($B111))," ",,TRUE),1,1,TRUE)),puestos!$C$2:$C$324,puestos!$B$2:$B$324),"SIN PUESTO"))</f>
        <v>COORDINADOR DE BODEGA</v>
      </c>
    </row>
    <row r="112" spans="1:12" x14ac:dyDescent="0.35">
      <c r="A112">
        <v>20018</v>
      </c>
      <c r="B112" t="s">
        <v>227</v>
      </c>
      <c r="D112" t="s">
        <v>548</v>
      </c>
      <c r="E112" t="s">
        <v>299</v>
      </c>
      <c r="F112" t="s">
        <v>660</v>
      </c>
      <c r="G112" t="s">
        <v>690</v>
      </c>
      <c r="H112" t="s">
        <v>823</v>
      </c>
      <c r="I112">
        <v>19</v>
      </c>
      <c r="J112" s="1" t="s">
        <v>922</v>
      </c>
      <c r="L112" t="str">
        <f>IF($B112="","",IFERROR(_xlfn.XLOOKUP(_xlfn.TEXTJOIN(" ",TRUE,_xlfn._xlws.SORT(_xlfn.TEXTSPLIT(TRIM(UPPER($B112))," ",,TRUE),1,1,TRUE)),puestos!$C$2:$C$324,puestos!$B$2:$B$324),"SIN PUESTO"))</f>
        <v>AYUDANTE GENERAL A</v>
      </c>
    </row>
    <row r="113" spans="1:12" x14ac:dyDescent="0.35">
      <c r="A113">
        <v>20019</v>
      </c>
      <c r="B113" t="s">
        <v>228</v>
      </c>
      <c r="D113" t="s">
        <v>549</v>
      </c>
      <c r="E113" t="s">
        <v>213</v>
      </c>
      <c r="F113" t="s">
        <v>660</v>
      </c>
      <c r="G113" t="s">
        <v>690</v>
      </c>
      <c r="H113" t="s">
        <v>823</v>
      </c>
      <c r="I113">
        <v>19</v>
      </c>
      <c r="J113" s="1" t="s">
        <v>923</v>
      </c>
      <c r="L113" t="str">
        <f>IF($B113="","",IFERROR(_xlfn.XLOOKUP(_xlfn.TEXTJOIN(" ",TRUE,_xlfn._xlws.SORT(_xlfn.TEXTSPLIT(TRIM(UPPER($B113))," ",,TRUE),1,1,TRUE)),puestos!$C$2:$C$324,puestos!$B$2:$B$324),"SIN PUESTO"))</f>
        <v>SUPERVISOR DE PRODUCCION</v>
      </c>
    </row>
    <row r="114" spans="1:12" x14ac:dyDescent="0.35">
      <c r="A114">
        <v>20020</v>
      </c>
      <c r="B114" t="s">
        <v>229</v>
      </c>
      <c r="D114" t="s">
        <v>550</v>
      </c>
      <c r="E114" t="s">
        <v>213</v>
      </c>
      <c r="F114" t="s">
        <v>660</v>
      </c>
      <c r="G114" t="s">
        <v>690</v>
      </c>
      <c r="H114" t="s">
        <v>823</v>
      </c>
      <c r="I114">
        <v>33</v>
      </c>
      <c r="J114" s="1" t="s">
        <v>924</v>
      </c>
      <c r="L114" t="str">
        <f>IF($B114="","",IFERROR(_xlfn.XLOOKUP(_xlfn.TEXTJOIN(" ",TRUE,_xlfn._xlws.SORT(_xlfn.TEXTSPLIT(TRIM(UPPER($B114))," ",,TRUE),1,1,TRUE)),puestos!$C$2:$C$324,puestos!$B$2:$B$324),"SIN PUESTO"))</f>
        <v>AYUDANTE GENERAL A</v>
      </c>
    </row>
    <row r="115" spans="1:12" x14ac:dyDescent="0.35">
      <c r="A115">
        <v>20021</v>
      </c>
      <c r="B115" t="s">
        <v>230</v>
      </c>
      <c r="C115" t="s">
        <v>812</v>
      </c>
      <c r="D115" t="s">
        <v>551</v>
      </c>
      <c r="E115" t="s">
        <v>189</v>
      </c>
      <c r="F115" t="s">
        <v>660</v>
      </c>
      <c r="G115" t="s">
        <v>690</v>
      </c>
      <c r="H115" t="s">
        <v>12</v>
      </c>
      <c r="I115">
        <v>40</v>
      </c>
      <c r="J115" s="1" t="s">
        <v>925</v>
      </c>
      <c r="L115" t="str">
        <f>IF($B115="","",IFERROR(_xlfn.XLOOKUP(_xlfn.TEXTJOIN(" ",TRUE,_xlfn._xlws.SORT(_xlfn.TEXTSPLIT(TRIM(UPPER($B115))," ",,TRUE),1,1,TRUE)),puestos!$C$2:$C$324,puestos!$B$2:$B$324),"SIN PUESTO"))</f>
        <v>CIT MANUFACTURA</v>
      </c>
    </row>
    <row r="116" spans="1:12" x14ac:dyDescent="0.35">
      <c r="A116">
        <v>20022</v>
      </c>
      <c r="B116" t="s">
        <v>231</v>
      </c>
      <c r="D116" t="s">
        <v>552</v>
      </c>
      <c r="E116" t="s">
        <v>125</v>
      </c>
      <c r="F116" t="s">
        <v>658</v>
      </c>
      <c r="G116" t="s">
        <v>683</v>
      </c>
      <c r="H116" t="s">
        <v>823</v>
      </c>
      <c r="I116">
        <v>36</v>
      </c>
      <c r="J116" s="1" t="s">
        <v>926</v>
      </c>
      <c r="L116" t="str">
        <f>IF($B116="","",IFERROR(_xlfn.XLOOKUP(_xlfn.TEXTJOIN(" ",TRUE,_xlfn._xlws.SORT(_xlfn.TEXTSPLIT(TRIM(UPPER($B116))," ",,TRUE),1,1,TRUE)),puestos!$C$2:$C$324,puestos!$B$2:$B$324),"SIN PUESTO"))</f>
        <v>AUXILIAR DE LIMPIEZA</v>
      </c>
    </row>
    <row r="117" spans="1:12" x14ac:dyDescent="0.35">
      <c r="A117">
        <v>20023</v>
      </c>
      <c r="B117" t="s">
        <v>232</v>
      </c>
      <c r="D117" t="s">
        <v>553</v>
      </c>
      <c r="E117" t="s">
        <v>306</v>
      </c>
      <c r="F117" t="s">
        <v>660</v>
      </c>
      <c r="G117" t="s">
        <v>690</v>
      </c>
      <c r="H117" t="s">
        <v>823</v>
      </c>
      <c r="I117">
        <v>36</v>
      </c>
      <c r="J117" s="1" t="s">
        <v>927</v>
      </c>
      <c r="L117" t="str">
        <f>IF($B117="","",IFERROR(_xlfn.XLOOKUP(_xlfn.TEXTJOIN(" ",TRUE,_xlfn._xlws.SORT(_xlfn.TEXTSPLIT(TRIM(UPPER($B117))," ",,TRUE),1,1,TRUE)),puestos!$C$2:$C$324,puestos!$B$2:$B$324),"SIN PUESTO"))</f>
        <v>AYUDANTE GENERAL A</v>
      </c>
    </row>
    <row r="118" spans="1:12" x14ac:dyDescent="0.35">
      <c r="A118">
        <v>20024</v>
      </c>
      <c r="B118" t="s">
        <v>233</v>
      </c>
      <c r="D118" t="s">
        <v>554</v>
      </c>
      <c r="E118" t="s">
        <v>299</v>
      </c>
      <c r="F118" t="s">
        <v>660</v>
      </c>
      <c r="G118" t="s">
        <v>690</v>
      </c>
      <c r="H118" t="s">
        <v>823</v>
      </c>
      <c r="I118">
        <v>55</v>
      </c>
      <c r="J118" s="1" t="s">
        <v>928</v>
      </c>
      <c r="L118" t="str">
        <f>IF($B118="","",IFERROR(_xlfn.XLOOKUP(_xlfn.TEXTJOIN(" ",TRUE,_xlfn._xlws.SORT(_xlfn.TEXTSPLIT(TRIM(UPPER($B118))," ",,TRUE),1,1,TRUE)),puestos!$C$2:$C$324,puestos!$B$2:$B$324),"SIN PUESTO"))</f>
        <v>LIDER DE GRUPO A</v>
      </c>
    </row>
    <row r="119" spans="1:12" x14ac:dyDescent="0.35">
      <c r="A119">
        <v>20025</v>
      </c>
      <c r="B119" t="s">
        <v>234</v>
      </c>
      <c r="D119" t="s">
        <v>555</v>
      </c>
      <c r="E119" t="s">
        <v>213</v>
      </c>
      <c r="F119" t="s">
        <v>660</v>
      </c>
      <c r="G119" t="s">
        <v>690</v>
      </c>
      <c r="H119" t="s">
        <v>823</v>
      </c>
      <c r="I119">
        <v>42</v>
      </c>
      <c r="J119" s="1" t="s">
        <v>929</v>
      </c>
      <c r="L119" t="str">
        <f>IF($B119="","",IFERROR(_xlfn.XLOOKUP(_xlfn.TEXTJOIN(" ",TRUE,_xlfn._xlws.SORT(_xlfn.TEXTSPLIT(TRIM(UPPER($B119))," ",,TRUE),1,1,TRUE)),puestos!$C$2:$C$324,puestos!$B$2:$B$324),"SIN PUESTO"))</f>
        <v>SUPERVISOR DE PRODUCCION</v>
      </c>
    </row>
    <row r="120" spans="1:12" x14ac:dyDescent="0.35">
      <c r="A120">
        <v>20026</v>
      </c>
      <c r="B120" t="s">
        <v>235</v>
      </c>
      <c r="D120" t="s">
        <v>556</v>
      </c>
      <c r="E120" t="s">
        <v>299</v>
      </c>
      <c r="F120" t="s">
        <v>660</v>
      </c>
      <c r="G120" t="s">
        <v>690</v>
      </c>
      <c r="H120" t="s">
        <v>823</v>
      </c>
      <c r="I120">
        <v>28</v>
      </c>
      <c r="J120" s="1" t="s">
        <v>930</v>
      </c>
      <c r="L120" t="str">
        <f>IF($B120="","",IFERROR(_xlfn.XLOOKUP(_xlfn.TEXTJOIN(" ",TRUE,_xlfn._xlws.SORT(_xlfn.TEXTSPLIT(TRIM(UPPER($B120))," ",,TRUE),1,1,TRUE)),puestos!$C$2:$C$324,puestos!$B$2:$B$324),"SIN PUESTO"))</f>
        <v>AYUDANTE GENERAL A</v>
      </c>
    </row>
    <row r="121" spans="1:12" x14ac:dyDescent="0.35">
      <c r="A121">
        <v>20027</v>
      </c>
      <c r="B121" t="s">
        <v>236</v>
      </c>
      <c r="D121" t="s">
        <v>557</v>
      </c>
      <c r="E121" t="s">
        <v>299</v>
      </c>
      <c r="F121" t="s">
        <v>660</v>
      </c>
      <c r="G121" t="s">
        <v>690</v>
      </c>
      <c r="H121" t="s">
        <v>823</v>
      </c>
      <c r="I121">
        <v>16</v>
      </c>
      <c r="J121" s="1" t="s">
        <v>931</v>
      </c>
      <c r="L121" t="str">
        <f>IF($B121="","",IFERROR(_xlfn.XLOOKUP(_xlfn.TEXTJOIN(" ",TRUE,_xlfn._xlws.SORT(_xlfn.TEXTSPLIT(TRIM(UPPER($B121))," ",,TRUE),1,1,TRUE)),puestos!$C$2:$C$324,puestos!$B$2:$B$324),"SIN PUESTO"))</f>
        <v>LIDER DE GRUPO A</v>
      </c>
    </row>
    <row r="122" spans="1:12" x14ac:dyDescent="0.35">
      <c r="A122">
        <v>20028</v>
      </c>
      <c r="B122" t="s">
        <v>237</v>
      </c>
      <c r="D122" t="s">
        <v>558</v>
      </c>
      <c r="E122" t="s">
        <v>213</v>
      </c>
      <c r="F122" t="s">
        <v>660</v>
      </c>
      <c r="G122" t="s">
        <v>690</v>
      </c>
      <c r="H122" t="s">
        <v>823</v>
      </c>
      <c r="I122">
        <v>15</v>
      </c>
      <c r="J122" s="1" t="s">
        <v>932</v>
      </c>
      <c r="L122" t="str">
        <f>IF($B122="","",IFERROR(_xlfn.XLOOKUP(_xlfn.TEXTJOIN(" ",TRUE,_xlfn._xlws.SORT(_xlfn.TEXTSPLIT(TRIM(UPPER($B122))," ",,TRUE),1,1,TRUE)),puestos!$C$2:$C$324,puestos!$B$2:$B$324),"SIN PUESTO"))</f>
        <v>AYUDANTE GENERAL A</v>
      </c>
    </row>
    <row r="123" spans="1:12" x14ac:dyDescent="0.35">
      <c r="A123">
        <v>20029</v>
      </c>
      <c r="B123" t="s">
        <v>238</v>
      </c>
      <c r="D123" t="s">
        <v>559</v>
      </c>
      <c r="E123" t="s">
        <v>306</v>
      </c>
      <c r="F123" t="s">
        <v>660</v>
      </c>
      <c r="G123" t="s">
        <v>690</v>
      </c>
      <c r="H123" t="s">
        <v>823</v>
      </c>
      <c r="I123">
        <v>38</v>
      </c>
      <c r="J123" s="1" t="s">
        <v>933</v>
      </c>
      <c r="L123" t="str">
        <f>IF($B123="","",IFERROR(_xlfn.XLOOKUP(_xlfn.TEXTJOIN(" ",TRUE,_xlfn._xlws.SORT(_xlfn.TEXTSPLIT(TRIM(UPPER($B123))," ",,TRUE),1,1,TRUE)),puestos!$C$2:$C$324,puestos!$B$2:$B$324),"SIN PUESTO"))</f>
        <v>AYUDANTE GENERAL A</v>
      </c>
    </row>
    <row r="124" spans="1:12" x14ac:dyDescent="0.35">
      <c r="A124">
        <v>20030</v>
      </c>
      <c r="B124" t="s">
        <v>239</v>
      </c>
      <c r="C124" t="s">
        <v>813</v>
      </c>
      <c r="D124" t="s">
        <v>560</v>
      </c>
      <c r="E124" t="s">
        <v>289</v>
      </c>
      <c r="F124" t="s">
        <v>660</v>
      </c>
      <c r="G124" t="s">
        <v>689</v>
      </c>
      <c r="H124" t="s">
        <v>12</v>
      </c>
      <c r="I124">
        <v>38</v>
      </c>
      <c r="J124" s="1" t="s">
        <v>853</v>
      </c>
      <c r="L124" t="str">
        <f>IF($B124="","",IFERROR(_xlfn.XLOOKUP(_xlfn.TEXTJOIN(" ",TRUE,_xlfn._xlws.SORT(_xlfn.TEXTSPLIT(TRIM(UPPER($B124))," ",,TRUE),1,1,TRUE)),puestos!$C$2:$C$324,puestos!$B$2:$B$324),"SIN PUESTO"))</f>
        <v>PLANIFICADOR DE MANTENIMIENTO</v>
      </c>
    </row>
    <row r="125" spans="1:12" x14ac:dyDescent="0.35">
      <c r="A125">
        <v>20031</v>
      </c>
      <c r="B125" t="s">
        <v>240</v>
      </c>
      <c r="D125" t="s">
        <v>561</v>
      </c>
      <c r="E125" t="s">
        <v>213</v>
      </c>
      <c r="F125" t="s">
        <v>660</v>
      </c>
      <c r="G125" t="s">
        <v>690</v>
      </c>
      <c r="H125" t="s">
        <v>823</v>
      </c>
      <c r="I125">
        <v>20</v>
      </c>
      <c r="J125" s="1" t="s">
        <v>934</v>
      </c>
      <c r="L125" t="str">
        <f>IF($B125="","",IFERROR(_xlfn.XLOOKUP(_xlfn.TEXTJOIN(" ",TRUE,_xlfn._xlws.SORT(_xlfn.TEXTSPLIT(TRIM(UPPER($B125))," ",,TRUE),1,1,TRUE)),puestos!$C$2:$C$324,puestos!$B$2:$B$324),"SIN PUESTO"))</f>
        <v>AYUDANTE GENERAL A</v>
      </c>
    </row>
    <row r="126" spans="1:12" x14ac:dyDescent="0.35">
      <c r="A126">
        <v>20032</v>
      </c>
      <c r="B126" t="s">
        <v>241</v>
      </c>
      <c r="D126" t="s">
        <v>562</v>
      </c>
      <c r="E126" t="s">
        <v>299</v>
      </c>
      <c r="F126" t="s">
        <v>660</v>
      </c>
      <c r="G126" t="s">
        <v>690</v>
      </c>
      <c r="H126" t="s">
        <v>823</v>
      </c>
      <c r="I126">
        <v>29</v>
      </c>
      <c r="J126" s="1" t="s">
        <v>935</v>
      </c>
      <c r="L126" t="str">
        <f>IF($B126="","",IFERROR(_xlfn.XLOOKUP(_xlfn.TEXTJOIN(" ",TRUE,_xlfn._xlws.SORT(_xlfn.TEXTSPLIT(TRIM(UPPER($B126))," ",,TRUE),1,1,TRUE)),puestos!$C$2:$C$324,puestos!$B$2:$B$324),"SIN PUESTO"))</f>
        <v>AYUDANTE GENERAL A</v>
      </c>
    </row>
    <row r="127" spans="1:12" x14ac:dyDescent="0.35">
      <c r="A127">
        <v>20033</v>
      </c>
      <c r="B127" t="s">
        <v>242</v>
      </c>
      <c r="D127" t="s">
        <v>563</v>
      </c>
      <c r="E127" t="s">
        <v>263</v>
      </c>
      <c r="F127" t="s">
        <v>660</v>
      </c>
      <c r="G127" t="s">
        <v>688</v>
      </c>
      <c r="H127" t="s">
        <v>823</v>
      </c>
      <c r="I127">
        <v>32</v>
      </c>
      <c r="J127" s="1" t="s">
        <v>936</v>
      </c>
      <c r="L127" t="str">
        <f>IF($B127="","",IFERROR(_xlfn.XLOOKUP(_xlfn.TEXTJOIN(" ",TRUE,_xlfn._xlws.SORT(_xlfn.TEXTSPLIT(TRIM(UPPER($B127))," ",,TRUE),1,1,TRUE)),puestos!$C$2:$C$324,puestos!$B$2:$B$324),"SIN PUESTO"))</f>
        <v>INSPECTOR DE CALIDAD</v>
      </c>
    </row>
    <row r="128" spans="1:12" x14ac:dyDescent="0.35">
      <c r="A128">
        <v>20034</v>
      </c>
      <c r="B128" t="s">
        <v>243</v>
      </c>
      <c r="D128" t="s">
        <v>564</v>
      </c>
      <c r="E128" t="s">
        <v>299</v>
      </c>
      <c r="F128" t="s">
        <v>660</v>
      </c>
      <c r="G128" t="s">
        <v>690</v>
      </c>
      <c r="H128" t="s">
        <v>823</v>
      </c>
      <c r="I128">
        <v>31</v>
      </c>
      <c r="J128" s="1" t="s">
        <v>937</v>
      </c>
      <c r="L128" t="str">
        <f>IF($B128="","",IFERROR(_xlfn.XLOOKUP(_xlfn.TEXTJOIN(" ",TRUE,_xlfn._xlws.SORT(_xlfn.TEXTSPLIT(TRIM(UPPER($B128))," ",,TRUE),1,1,TRUE)),puestos!$C$2:$C$324,puestos!$B$2:$B$324),"SIN PUESTO"))</f>
        <v>AYUDANTE GENERAL A</v>
      </c>
    </row>
    <row r="129" spans="1:12" x14ac:dyDescent="0.35">
      <c r="A129">
        <v>20035</v>
      </c>
      <c r="B129" t="s">
        <v>244</v>
      </c>
      <c r="D129" t="s">
        <v>565</v>
      </c>
      <c r="E129" t="s">
        <v>239</v>
      </c>
      <c r="F129" t="s">
        <v>660</v>
      </c>
      <c r="G129" t="s">
        <v>689</v>
      </c>
      <c r="H129" t="s">
        <v>823</v>
      </c>
      <c r="I129">
        <v>34</v>
      </c>
      <c r="J129" s="1" t="s">
        <v>938</v>
      </c>
      <c r="L129" t="str">
        <f>IF($B129="","",IFERROR(_xlfn.XLOOKUP(_xlfn.TEXTJOIN(" ",TRUE,_xlfn._xlws.SORT(_xlfn.TEXTSPLIT(TRIM(UPPER($B129))," ",,TRUE),1,1,TRUE)),puestos!$C$2:$C$324,puestos!$B$2:$B$324),"SIN PUESTO"))</f>
        <v>AUXILIAR DE MANTENIMIENTO</v>
      </c>
    </row>
    <row r="130" spans="1:12" x14ac:dyDescent="0.35">
      <c r="A130">
        <v>20036</v>
      </c>
      <c r="B130" t="s">
        <v>245</v>
      </c>
      <c r="D130" t="s">
        <v>566</v>
      </c>
      <c r="E130" t="s">
        <v>306</v>
      </c>
      <c r="F130" t="s">
        <v>660</v>
      </c>
      <c r="G130" t="s">
        <v>690</v>
      </c>
      <c r="H130" t="s">
        <v>823</v>
      </c>
      <c r="I130">
        <v>14</v>
      </c>
      <c r="J130" s="1" t="s">
        <v>939</v>
      </c>
      <c r="L130" t="str">
        <f>IF($B130="","",IFERROR(_xlfn.XLOOKUP(_xlfn.TEXTJOIN(" ",TRUE,_xlfn._xlws.SORT(_xlfn.TEXTSPLIT(TRIM(UPPER($B130))," ",,TRUE),1,1,TRUE)),puestos!$C$2:$C$324,puestos!$B$2:$B$324),"SIN PUESTO"))</f>
        <v>AYUDANTE GENERAL A</v>
      </c>
    </row>
    <row r="131" spans="1:12" x14ac:dyDescent="0.35">
      <c r="A131">
        <v>20037</v>
      </c>
      <c r="B131" t="s">
        <v>246</v>
      </c>
      <c r="D131" t="s">
        <v>567</v>
      </c>
      <c r="E131" t="s">
        <v>299</v>
      </c>
      <c r="F131" t="s">
        <v>660</v>
      </c>
      <c r="G131" t="s">
        <v>690</v>
      </c>
      <c r="H131" t="s">
        <v>823</v>
      </c>
      <c r="I131">
        <v>29</v>
      </c>
      <c r="J131" s="1" t="s">
        <v>940</v>
      </c>
      <c r="L131" t="str">
        <f>IF($B131="","",IFERROR(_xlfn.XLOOKUP(_xlfn.TEXTJOIN(" ",TRUE,_xlfn._xlws.SORT(_xlfn.TEXTSPLIT(TRIM(UPPER($B131))," ",,TRUE),1,1,TRUE)),puestos!$C$2:$C$324,puestos!$B$2:$B$324),"SIN PUESTO"))</f>
        <v>AYUDANTE GENERAL A</v>
      </c>
    </row>
    <row r="132" spans="1:12" x14ac:dyDescent="0.35">
      <c r="A132">
        <v>20038</v>
      </c>
      <c r="B132" t="s">
        <v>247</v>
      </c>
      <c r="D132" t="s">
        <v>568</v>
      </c>
      <c r="E132" t="s">
        <v>213</v>
      </c>
      <c r="F132" t="s">
        <v>660</v>
      </c>
      <c r="G132" t="s">
        <v>690</v>
      </c>
      <c r="H132" t="s">
        <v>823</v>
      </c>
      <c r="I132">
        <v>28</v>
      </c>
      <c r="J132" s="1" t="s">
        <v>941</v>
      </c>
      <c r="L132" t="str">
        <f>IF($B132="","",IFERROR(_xlfn.XLOOKUP(_xlfn.TEXTJOIN(" ",TRUE,_xlfn._xlws.SORT(_xlfn.TEXTSPLIT(TRIM(UPPER($B132))," ",,TRUE),1,1,TRUE)),puestos!$C$2:$C$324,puestos!$B$2:$B$324),"SIN PUESTO"))</f>
        <v>AYUDANTE GENERAL A</v>
      </c>
    </row>
    <row r="133" spans="1:12" x14ac:dyDescent="0.35">
      <c r="A133">
        <v>20039</v>
      </c>
      <c r="B133" t="s">
        <v>248</v>
      </c>
      <c r="D133" t="s">
        <v>569</v>
      </c>
      <c r="E133" t="s">
        <v>263</v>
      </c>
      <c r="F133" t="s">
        <v>660</v>
      </c>
      <c r="G133" t="s">
        <v>688</v>
      </c>
      <c r="H133" t="s">
        <v>823</v>
      </c>
      <c r="I133">
        <v>31</v>
      </c>
      <c r="J133" s="1" t="s">
        <v>942</v>
      </c>
      <c r="L133" t="str">
        <f>IF($B133="","",IFERROR(_xlfn.XLOOKUP(_xlfn.TEXTJOIN(" ",TRUE,_xlfn._xlws.SORT(_xlfn.TEXTSPLIT(TRIM(UPPER($B133))," ",,TRUE),1,1,TRUE)),puestos!$C$2:$C$324,puestos!$B$2:$B$324),"SIN PUESTO"))</f>
        <v>INSPECTOR DE PROCESO CAPSULA</v>
      </c>
    </row>
    <row r="134" spans="1:12" x14ac:dyDescent="0.35">
      <c r="A134">
        <v>20040</v>
      </c>
      <c r="B134" t="s">
        <v>249</v>
      </c>
      <c r="D134" t="s">
        <v>570</v>
      </c>
      <c r="E134" t="s">
        <v>219</v>
      </c>
      <c r="F134" t="s">
        <v>658</v>
      </c>
      <c r="G134" t="s">
        <v>691</v>
      </c>
      <c r="H134" t="s">
        <v>823</v>
      </c>
      <c r="I134">
        <v>29</v>
      </c>
      <c r="J134" s="1" t="s">
        <v>943</v>
      </c>
      <c r="L134" t="str">
        <f>IF($B134="","",IFERROR(_xlfn.XLOOKUP(_xlfn.TEXTJOIN(" ",TRUE,_xlfn._xlws.SORT(_xlfn.TEXTSPLIT(TRIM(UPPER($B134))," ",,TRUE),1,1,TRUE)),puestos!$C$2:$C$324,puestos!$B$2:$B$324),"SIN PUESTO"))</f>
        <v>AUXILIAR DE BODEGA</v>
      </c>
    </row>
    <row r="135" spans="1:12" x14ac:dyDescent="0.35">
      <c r="A135">
        <v>20041</v>
      </c>
      <c r="B135" t="s">
        <v>250</v>
      </c>
      <c r="D135" t="s">
        <v>571</v>
      </c>
      <c r="E135" t="s">
        <v>213</v>
      </c>
      <c r="F135" t="s">
        <v>660</v>
      </c>
      <c r="G135" t="s">
        <v>690</v>
      </c>
      <c r="H135" t="s">
        <v>823</v>
      </c>
      <c r="I135">
        <v>26</v>
      </c>
      <c r="J135" s="1" t="s">
        <v>944</v>
      </c>
      <c r="L135" t="str">
        <f>IF($B135="","",IFERROR(_xlfn.XLOOKUP(_xlfn.TEXTJOIN(" ",TRUE,_xlfn._xlws.SORT(_xlfn.TEXTSPLIT(TRIM(UPPER($B135))," ",,TRUE),1,1,TRUE)),puestos!$C$2:$C$324,puestos!$B$2:$B$324),"SIN PUESTO"))</f>
        <v>AYUDANTE GENERAL A</v>
      </c>
    </row>
    <row r="136" spans="1:12" x14ac:dyDescent="0.35">
      <c r="A136">
        <v>20042</v>
      </c>
      <c r="B136" t="s">
        <v>251</v>
      </c>
      <c r="D136" t="s">
        <v>572</v>
      </c>
      <c r="E136" t="s">
        <v>125</v>
      </c>
      <c r="F136" t="s">
        <v>660</v>
      </c>
      <c r="G136" t="s">
        <v>681</v>
      </c>
      <c r="H136" t="s">
        <v>823</v>
      </c>
      <c r="I136">
        <v>34</v>
      </c>
      <c r="J136" s="1" t="s">
        <v>945</v>
      </c>
      <c r="L136" t="str">
        <f>IF($B136="","",IFERROR(_xlfn.XLOOKUP(_xlfn.TEXTJOIN(" ",TRUE,_xlfn._xlws.SORT(_xlfn.TEXTSPLIT(TRIM(UPPER($B136))," ",,TRUE),1,1,TRUE)),puestos!$C$2:$C$324,puestos!$B$2:$B$324),"SIN PUESTO"))</f>
        <v>ENFERMERIA</v>
      </c>
    </row>
    <row r="137" spans="1:12" x14ac:dyDescent="0.35">
      <c r="A137">
        <v>20043</v>
      </c>
      <c r="B137" t="s">
        <v>252</v>
      </c>
      <c r="C137" t="s">
        <v>814</v>
      </c>
      <c r="D137" t="s">
        <v>573</v>
      </c>
      <c r="E137" t="s">
        <v>189</v>
      </c>
      <c r="F137" t="s">
        <v>660</v>
      </c>
      <c r="G137" t="s">
        <v>681</v>
      </c>
      <c r="H137" t="s">
        <v>12</v>
      </c>
      <c r="I137">
        <v>30</v>
      </c>
      <c r="J137" s="1" t="s">
        <v>946</v>
      </c>
      <c r="L137" t="str">
        <f>IF($B137="","",IFERROR(_xlfn.XLOOKUP(_xlfn.TEXTJOIN(" ",TRUE,_xlfn._xlws.SORT(_xlfn.TEXTSPLIT(TRIM(UPPER($B137))," ",,TRUE),1,1,TRUE)),puestos!$C$2:$C$324,puestos!$B$2:$B$324),"SIN PUESTO"))</f>
        <v>JEFE DE SSO</v>
      </c>
    </row>
    <row r="138" spans="1:12" x14ac:dyDescent="0.35">
      <c r="A138">
        <v>20044</v>
      </c>
      <c r="B138" t="s">
        <v>253</v>
      </c>
      <c r="D138" t="s">
        <v>574</v>
      </c>
      <c r="E138" t="s">
        <v>299</v>
      </c>
      <c r="F138" t="s">
        <v>660</v>
      </c>
      <c r="G138" t="s">
        <v>690</v>
      </c>
      <c r="H138" t="s">
        <v>823</v>
      </c>
      <c r="I138">
        <v>21</v>
      </c>
      <c r="J138" s="1" t="s">
        <v>947</v>
      </c>
      <c r="L138" t="str">
        <f>IF($B138="","",IFERROR(_xlfn.XLOOKUP(_xlfn.TEXTJOIN(" ",TRUE,_xlfn._xlws.SORT(_xlfn.TEXTSPLIT(TRIM(UPPER($B138))," ",,TRUE),1,1,TRUE)),puestos!$C$2:$C$324,puestos!$B$2:$B$324),"SIN PUESTO"))</f>
        <v>LIDER DE GRUPO A</v>
      </c>
    </row>
    <row r="139" spans="1:12" x14ac:dyDescent="0.35">
      <c r="A139">
        <v>20045</v>
      </c>
      <c r="B139" t="s">
        <v>254</v>
      </c>
      <c r="D139" t="s">
        <v>575</v>
      </c>
      <c r="E139" t="s">
        <v>219</v>
      </c>
      <c r="F139" t="s">
        <v>658</v>
      </c>
      <c r="G139" t="s">
        <v>691</v>
      </c>
      <c r="H139" t="s">
        <v>823</v>
      </c>
      <c r="I139">
        <v>20</v>
      </c>
      <c r="J139" s="1" t="s">
        <v>867</v>
      </c>
      <c r="L139" t="str">
        <f>IF($B139="","",IFERROR(_xlfn.XLOOKUP(_xlfn.TEXTJOIN(" ",TRUE,_xlfn._xlws.SORT(_xlfn.TEXTSPLIT(TRIM(UPPER($B139))," ",,TRUE),1,1,TRUE)),puestos!$C$2:$C$324,puestos!$B$2:$B$324),"SIN PUESTO"))</f>
        <v>AUXILIAR DE BODEGA</v>
      </c>
    </row>
    <row r="140" spans="1:12" x14ac:dyDescent="0.35">
      <c r="A140">
        <v>20046</v>
      </c>
      <c r="B140" t="s">
        <v>255</v>
      </c>
      <c r="D140" t="s">
        <v>576</v>
      </c>
      <c r="E140" t="s">
        <v>219</v>
      </c>
      <c r="F140" t="s">
        <v>658</v>
      </c>
      <c r="G140" t="s">
        <v>691</v>
      </c>
      <c r="H140" t="s">
        <v>823</v>
      </c>
      <c r="I140">
        <v>29</v>
      </c>
      <c r="J140" s="1" t="s">
        <v>948</v>
      </c>
      <c r="L140" t="str">
        <f>IF($B140="","",IFERROR(_xlfn.XLOOKUP(_xlfn.TEXTJOIN(" ",TRUE,_xlfn._xlws.SORT(_xlfn.TEXTSPLIT(TRIM(UPPER($B140))," ",,TRUE),1,1,TRUE)),puestos!$C$2:$C$324,puestos!$B$2:$B$324),"SIN PUESTO"))</f>
        <v>AUXILIAR DE BODEGA</v>
      </c>
    </row>
    <row r="141" spans="1:12" x14ac:dyDescent="0.35">
      <c r="A141">
        <v>20047</v>
      </c>
      <c r="B141" t="s">
        <v>256</v>
      </c>
      <c r="D141" t="s">
        <v>577</v>
      </c>
      <c r="E141" t="s">
        <v>126</v>
      </c>
      <c r="F141" t="s">
        <v>660</v>
      </c>
      <c r="G141" t="s">
        <v>690</v>
      </c>
      <c r="H141" t="s">
        <v>823</v>
      </c>
      <c r="I141">
        <v>12</v>
      </c>
      <c r="J141" s="1" t="s">
        <v>949</v>
      </c>
      <c r="L141" t="str">
        <f>IF($B141="","",IFERROR(_xlfn.XLOOKUP(_xlfn.TEXTJOIN(" ",TRUE,_xlfn._xlws.SORT(_xlfn.TEXTSPLIT(TRIM(UPPER($B141))," ",,TRUE),1,1,TRUE)),puestos!$C$2:$C$324,puestos!$B$2:$B$324),"SIN PUESTO"))</f>
        <v>TECNICO ESPECIALISTA</v>
      </c>
    </row>
    <row r="142" spans="1:12" x14ac:dyDescent="0.35">
      <c r="A142">
        <v>20048</v>
      </c>
      <c r="B142" t="s">
        <v>257</v>
      </c>
      <c r="D142" t="s">
        <v>578</v>
      </c>
      <c r="E142" t="s">
        <v>213</v>
      </c>
      <c r="F142" t="s">
        <v>660</v>
      </c>
      <c r="G142" t="s">
        <v>690</v>
      </c>
      <c r="H142" t="s">
        <v>823</v>
      </c>
      <c r="I142">
        <v>10</v>
      </c>
      <c r="J142" s="1" t="s">
        <v>949</v>
      </c>
      <c r="L142" t="str">
        <f>IF($B142="","",IFERROR(_xlfn.XLOOKUP(_xlfn.TEXTJOIN(" ",TRUE,_xlfn._xlws.SORT(_xlfn.TEXTSPLIT(TRIM(UPPER($B142))," ",,TRUE),1,1,TRUE)),puestos!$C$2:$C$324,puestos!$B$2:$B$324),"SIN PUESTO"))</f>
        <v>AYUDANTE GENERAL A</v>
      </c>
    </row>
    <row r="143" spans="1:12" x14ac:dyDescent="0.35">
      <c r="A143">
        <v>20049</v>
      </c>
      <c r="B143" t="s">
        <v>258</v>
      </c>
      <c r="D143" t="s">
        <v>579</v>
      </c>
      <c r="E143" t="s">
        <v>263</v>
      </c>
      <c r="F143" t="s">
        <v>660</v>
      </c>
      <c r="G143" t="s">
        <v>688</v>
      </c>
      <c r="H143" t="s">
        <v>823</v>
      </c>
      <c r="I143">
        <v>14</v>
      </c>
      <c r="J143" s="1" t="s">
        <v>950</v>
      </c>
      <c r="L143" t="str">
        <f>IF($B143="","",IFERROR(_xlfn.XLOOKUP(_xlfn.TEXTJOIN(" ",TRUE,_xlfn._xlws.SORT(_xlfn.TEXTSPLIT(TRIM(UPPER($B143))," ",,TRUE),1,1,TRUE)),puestos!$C$2:$C$324,puestos!$B$2:$B$324),"SIN PUESTO"))</f>
        <v>INSPECTOR DE CALIDAD</v>
      </c>
    </row>
    <row r="144" spans="1:12" x14ac:dyDescent="0.35">
      <c r="A144">
        <v>20050</v>
      </c>
      <c r="B144" t="s">
        <v>259</v>
      </c>
      <c r="D144" t="s">
        <v>580</v>
      </c>
      <c r="E144" t="s">
        <v>299</v>
      </c>
      <c r="F144" t="s">
        <v>660</v>
      </c>
      <c r="G144" t="s">
        <v>690</v>
      </c>
      <c r="H144" t="s">
        <v>823</v>
      </c>
      <c r="I144">
        <v>17</v>
      </c>
      <c r="J144" s="1" t="s">
        <v>951</v>
      </c>
      <c r="L144" t="str">
        <f>IF($B144="","",IFERROR(_xlfn.XLOOKUP(_xlfn.TEXTJOIN(" ",TRUE,_xlfn._xlws.SORT(_xlfn.TEXTSPLIT(TRIM(UPPER($B144))," ",,TRUE),1,1,TRUE)),puestos!$C$2:$C$324,puestos!$B$2:$B$324),"SIN PUESTO"))</f>
        <v>LIDER DE GRUPO A</v>
      </c>
    </row>
    <row r="145" spans="1:12" x14ac:dyDescent="0.35">
      <c r="A145">
        <v>20051</v>
      </c>
      <c r="B145" t="s">
        <v>260</v>
      </c>
      <c r="D145" t="s">
        <v>581</v>
      </c>
      <c r="E145" t="s">
        <v>213</v>
      </c>
      <c r="F145" t="s">
        <v>660</v>
      </c>
      <c r="G145" t="s">
        <v>690</v>
      </c>
      <c r="H145" t="s">
        <v>823</v>
      </c>
      <c r="I145">
        <v>17</v>
      </c>
      <c r="J145" s="1" t="s">
        <v>952</v>
      </c>
      <c r="L145" t="str">
        <f>IF($B145="","",IFERROR(_xlfn.XLOOKUP(_xlfn.TEXTJOIN(" ",TRUE,_xlfn._xlws.SORT(_xlfn.TEXTSPLIT(TRIM(UPPER($B145))," ",,TRUE),1,1,TRUE)),puestos!$C$2:$C$324,puestos!$B$2:$B$324),"SIN PUESTO"))</f>
        <v>AYUDANTE GENERAL A</v>
      </c>
    </row>
    <row r="146" spans="1:12" x14ac:dyDescent="0.35">
      <c r="A146">
        <v>20052</v>
      </c>
      <c r="B146" t="s">
        <v>261</v>
      </c>
      <c r="D146" t="s">
        <v>582</v>
      </c>
      <c r="E146" t="s">
        <v>226</v>
      </c>
      <c r="F146" t="s">
        <v>658</v>
      </c>
      <c r="G146" t="s">
        <v>691</v>
      </c>
      <c r="H146" t="s">
        <v>823</v>
      </c>
      <c r="I146">
        <v>7</v>
      </c>
      <c r="J146" s="1" t="s">
        <v>953</v>
      </c>
      <c r="L146" t="str">
        <f>IF($B146="","",IFERROR(_xlfn.XLOOKUP(_xlfn.TEXTJOIN(" ",TRUE,_xlfn._xlws.SORT(_xlfn.TEXTSPLIT(TRIM(UPPER($B146))," ",,TRUE),1,1,TRUE)),puestos!$C$2:$C$324,puestos!$B$2:$B$324),"SIN PUESTO"))</f>
        <v>AUXILIAR DE BODEGA</v>
      </c>
    </row>
    <row r="147" spans="1:12" x14ac:dyDescent="0.35">
      <c r="A147">
        <v>20053</v>
      </c>
      <c r="B147" t="s">
        <v>262</v>
      </c>
      <c r="D147" t="s">
        <v>583</v>
      </c>
      <c r="E147" t="s">
        <v>126</v>
      </c>
      <c r="F147" t="s">
        <v>660</v>
      </c>
      <c r="G147" t="s">
        <v>681</v>
      </c>
      <c r="H147" t="s">
        <v>823</v>
      </c>
      <c r="I147">
        <v>17</v>
      </c>
      <c r="J147" s="1" t="s">
        <v>954</v>
      </c>
      <c r="L147" t="str">
        <f>IF($B147="","",IFERROR(_xlfn.XLOOKUP(_xlfn.TEXTJOIN(" ",TRUE,_xlfn._xlws.SORT(_xlfn.TEXTSPLIT(TRIM(UPPER($B147))," ",,TRUE),1,1,TRUE)),puestos!$C$2:$C$324,puestos!$B$2:$B$324),"SIN PUESTO"))</f>
        <v>AUXILIAR DE PRODUCCIÓN</v>
      </c>
    </row>
    <row r="148" spans="1:12" x14ac:dyDescent="0.35">
      <c r="A148">
        <v>20054</v>
      </c>
      <c r="B148" t="s">
        <v>263</v>
      </c>
      <c r="C148" t="s">
        <v>815</v>
      </c>
      <c r="D148" t="s">
        <v>584</v>
      </c>
      <c r="E148" t="s">
        <v>189</v>
      </c>
      <c r="F148" t="s">
        <v>660</v>
      </c>
      <c r="G148" t="s">
        <v>688</v>
      </c>
      <c r="H148" t="s">
        <v>12</v>
      </c>
      <c r="I148">
        <v>15</v>
      </c>
      <c r="J148" s="1" t="s">
        <v>954</v>
      </c>
      <c r="L148" t="str">
        <f>IF($B148="","",IFERROR(_xlfn.XLOOKUP(_xlfn.TEXTJOIN(" ",TRUE,_xlfn._xlws.SORT(_xlfn.TEXTSPLIT(TRIM(UPPER($B148))," ",,TRUE),1,1,TRUE)),puestos!$C$2:$C$324,puestos!$B$2:$B$324),"SIN PUESTO"))</f>
        <v>JEFE DE CALIDAD</v>
      </c>
    </row>
    <row r="149" spans="1:12" x14ac:dyDescent="0.35">
      <c r="A149">
        <v>20055</v>
      </c>
      <c r="B149" t="s">
        <v>264</v>
      </c>
      <c r="D149" t="s">
        <v>585</v>
      </c>
      <c r="E149" t="s">
        <v>213</v>
      </c>
      <c r="F149" t="s">
        <v>660</v>
      </c>
      <c r="G149" t="s">
        <v>690</v>
      </c>
      <c r="H149" t="s">
        <v>823</v>
      </c>
      <c r="I149">
        <v>18</v>
      </c>
      <c r="J149" s="1" t="s">
        <v>955</v>
      </c>
      <c r="L149" t="str">
        <f>IF($B149="","",IFERROR(_xlfn.XLOOKUP(_xlfn.TEXTJOIN(" ",TRUE,_xlfn._xlws.SORT(_xlfn.TEXTSPLIT(TRIM(UPPER($B149))," ",,TRUE),1,1,TRUE)),puestos!$C$2:$C$324,puestos!$B$2:$B$324),"SIN PUESTO"))</f>
        <v>AYUDANTE GENERAL A</v>
      </c>
    </row>
    <row r="150" spans="1:12" x14ac:dyDescent="0.35">
      <c r="A150">
        <v>20056</v>
      </c>
      <c r="B150" t="s">
        <v>265</v>
      </c>
      <c r="D150" t="s">
        <v>586</v>
      </c>
      <c r="E150" t="s">
        <v>239</v>
      </c>
      <c r="F150" t="s">
        <v>660</v>
      </c>
      <c r="G150" t="s">
        <v>689</v>
      </c>
      <c r="H150" t="s">
        <v>823</v>
      </c>
      <c r="I150">
        <v>17</v>
      </c>
      <c r="J150" s="1" t="s">
        <v>956</v>
      </c>
      <c r="L150" t="str">
        <f>IF($B150="","",IFERROR(_xlfn.XLOOKUP(_xlfn.TEXTJOIN(" ",TRUE,_xlfn._xlws.SORT(_xlfn.TEXTSPLIT(TRIM(UPPER($B150))," ",,TRUE),1,1,TRUE)),puestos!$C$2:$C$324,puestos!$B$2:$B$324),"SIN PUESTO"))</f>
        <v>AUXILIAR DE MANTENIMIENTO</v>
      </c>
    </row>
    <row r="151" spans="1:12" x14ac:dyDescent="0.35">
      <c r="A151">
        <v>20057</v>
      </c>
      <c r="B151" t="s">
        <v>266</v>
      </c>
      <c r="D151" t="s">
        <v>587</v>
      </c>
      <c r="E151" t="s">
        <v>230</v>
      </c>
      <c r="F151" t="s">
        <v>660</v>
      </c>
      <c r="G151" t="s">
        <v>681</v>
      </c>
      <c r="H151" t="s">
        <v>823</v>
      </c>
      <c r="I151">
        <v>29</v>
      </c>
      <c r="J151" s="1" t="s">
        <v>957</v>
      </c>
      <c r="L151" t="str">
        <f>IF($B151="","",IFERROR(_xlfn.XLOOKUP(_xlfn.TEXTJOIN(" ",TRUE,_xlfn._xlws.SORT(_xlfn.TEXTSPLIT(TRIM(UPPER($B151))," ",,TRUE),1,1,TRUE)),puestos!$C$2:$C$324,puestos!$B$2:$B$324),"SIN PUESTO"))</f>
        <v>TECNICO ADMINISTRATIVO MANUFACTURA</v>
      </c>
    </row>
    <row r="152" spans="1:12" x14ac:dyDescent="0.35">
      <c r="A152">
        <v>20058</v>
      </c>
      <c r="B152" t="s">
        <v>267</v>
      </c>
      <c r="D152" t="s">
        <v>588</v>
      </c>
      <c r="E152" t="s">
        <v>219</v>
      </c>
      <c r="F152" t="s">
        <v>658</v>
      </c>
      <c r="G152" t="s">
        <v>691</v>
      </c>
      <c r="H152" t="s">
        <v>823</v>
      </c>
      <c r="I152">
        <v>20</v>
      </c>
      <c r="J152" s="1" t="s">
        <v>958</v>
      </c>
      <c r="L152" t="str">
        <f>IF($B152="","",IFERROR(_xlfn.XLOOKUP(_xlfn.TEXTJOIN(" ",TRUE,_xlfn._xlws.SORT(_xlfn.TEXTSPLIT(TRIM(UPPER($B152))," ",,TRUE),1,1,TRUE)),puestos!$C$2:$C$324,puestos!$B$2:$B$324),"SIN PUESTO"))</f>
        <v>AUXILIAR DE BODEGA</v>
      </c>
    </row>
    <row r="153" spans="1:12" x14ac:dyDescent="0.35">
      <c r="A153">
        <v>20059</v>
      </c>
      <c r="B153" t="s">
        <v>268</v>
      </c>
      <c r="C153" t="s">
        <v>816</v>
      </c>
      <c r="D153" t="s">
        <v>589</v>
      </c>
      <c r="E153" t="s">
        <v>174</v>
      </c>
      <c r="F153" t="s">
        <v>658</v>
      </c>
      <c r="G153" t="s">
        <v>691</v>
      </c>
      <c r="H153" t="s">
        <v>12</v>
      </c>
      <c r="I153">
        <v>27</v>
      </c>
      <c r="J153" s="1" t="s">
        <v>959</v>
      </c>
      <c r="L153" t="str">
        <f>IF($B153="","",IFERROR(_xlfn.XLOOKUP(_xlfn.TEXTJOIN(" ",TRUE,_xlfn._xlws.SORT(_xlfn.TEXTSPLIT(TRIM(UPPER($B153))," ",,TRUE),1,1,TRUE)),puestos!$C$2:$C$324,puestos!$B$2:$B$324),"SIN PUESTO"))</f>
        <v>JEFE DE BODEGA</v>
      </c>
    </row>
    <row r="154" spans="1:12" x14ac:dyDescent="0.35">
      <c r="A154">
        <v>20060</v>
      </c>
      <c r="B154" t="s">
        <v>269</v>
      </c>
      <c r="D154" t="s">
        <v>590</v>
      </c>
      <c r="E154" t="s">
        <v>126</v>
      </c>
      <c r="F154" t="s">
        <v>660</v>
      </c>
      <c r="G154" t="s">
        <v>681</v>
      </c>
      <c r="H154" t="s">
        <v>823</v>
      </c>
      <c r="I154">
        <v>17</v>
      </c>
      <c r="J154" s="1" t="s">
        <v>960</v>
      </c>
      <c r="L154" t="str">
        <f>IF($B154="","",IFERROR(_xlfn.XLOOKUP(_xlfn.TEXTJOIN(" ",TRUE,_xlfn._xlws.SORT(_xlfn.TEXTSPLIT(TRIM(UPPER($B154))," ",,TRUE),1,1,TRUE)),puestos!$C$2:$C$324,puestos!$B$2:$B$324),"SIN PUESTO"))</f>
        <v>AUXILIAR DE PRODUCCIÓN</v>
      </c>
    </row>
    <row r="155" spans="1:12" x14ac:dyDescent="0.35">
      <c r="A155">
        <v>20061</v>
      </c>
      <c r="B155" t="s">
        <v>270</v>
      </c>
      <c r="D155" t="s">
        <v>591</v>
      </c>
      <c r="E155" t="s">
        <v>239</v>
      </c>
      <c r="F155" t="s">
        <v>660</v>
      </c>
      <c r="G155" t="s">
        <v>689</v>
      </c>
      <c r="H155" t="s">
        <v>823</v>
      </c>
      <c r="I155">
        <v>21</v>
      </c>
      <c r="J155" s="1" t="s">
        <v>961</v>
      </c>
      <c r="L155" t="str">
        <f>IF($B155="","",IFERROR(_xlfn.XLOOKUP(_xlfn.TEXTJOIN(" ",TRUE,_xlfn._xlws.SORT(_xlfn.TEXTSPLIT(TRIM(UPPER($B155))," ",,TRUE),1,1,TRUE)),puestos!$C$2:$C$324,puestos!$B$2:$B$324),"SIN PUESTO"))</f>
        <v>AUXILIAR DE MANTENIMIENTO</v>
      </c>
    </row>
    <row r="156" spans="1:12" x14ac:dyDescent="0.35">
      <c r="A156">
        <v>20062</v>
      </c>
      <c r="B156" t="s">
        <v>271</v>
      </c>
      <c r="C156" t="s">
        <v>817</v>
      </c>
      <c r="D156" t="s">
        <v>592</v>
      </c>
      <c r="E156" t="s">
        <v>263</v>
      </c>
      <c r="F156" t="s">
        <v>660</v>
      </c>
      <c r="G156" t="s">
        <v>688</v>
      </c>
      <c r="H156" t="s">
        <v>12</v>
      </c>
      <c r="I156">
        <v>24</v>
      </c>
      <c r="J156" s="1" t="s">
        <v>962</v>
      </c>
      <c r="L156" t="str">
        <f>IF($B156="","",IFERROR(_xlfn.XLOOKUP(_xlfn.TEXTJOIN(" ",TRUE,_xlfn._xlws.SORT(_xlfn.TEXTSPLIT(TRIM(UPPER($B156))," ",,TRUE),1,1,TRUE)),puestos!$C$2:$C$324,puestos!$B$2:$B$324),"SIN PUESTO"))</f>
        <v>COORDINADOR DE INOCUIDAD</v>
      </c>
    </row>
    <row r="157" spans="1:12" x14ac:dyDescent="0.35">
      <c r="A157">
        <v>20065</v>
      </c>
      <c r="B157" t="s">
        <v>272</v>
      </c>
      <c r="D157" t="s">
        <v>593</v>
      </c>
      <c r="E157" t="s">
        <v>213</v>
      </c>
      <c r="F157" t="s">
        <v>660</v>
      </c>
      <c r="G157" t="s">
        <v>690</v>
      </c>
      <c r="H157" t="s">
        <v>823</v>
      </c>
      <c r="I157">
        <v>23</v>
      </c>
      <c r="J157" s="1" t="s">
        <v>963</v>
      </c>
      <c r="L157" t="str">
        <f>IF($B157="","",IFERROR(_xlfn.XLOOKUP(_xlfn.TEXTJOIN(" ",TRUE,_xlfn._xlws.SORT(_xlfn.TEXTSPLIT(TRIM(UPPER($B157))," ",,TRUE),1,1,TRUE)),puestos!$C$2:$C$324,puestos!$B$2:$B$324),"SIN PUESTO"))</f>
        <v>AYUDANTE GENERAL A</v>
      </c>
    </row>
    <row r="158" spans="1:12" x14ac:dyDescent="0.35">
      <c r="A158">
        <v>20066</v>
      </c>
      <c r="B158" t="s">
        <v>273</v>
      </c>
      <c r="D158" t="s">
        <v>594</v>
      </c>
      <c r="E158" t="s">
        <v>299</v>
      </c>
      <c r="F158" t="s">
        <v>660</v>
      </c>
      <c r="G158" t="s">
        <v>690</v>
      </c>
      <c r="H158" t="s">
        <v>823</v>
      </c>
      <c r="I158">
        <v>28</v>
      </c>
      <c r="J158" s="1" t="s">
        <v>964</v>
      </c>
      <c r="L158" t="str">
        <f>IF($B158="","",IFERROR(_xlfn.XLOOKUP(_xlfn.TEXTJOIN(" ",TRUE,_xlfn._xlws.SORT(_xlfn.TEXTSPLIT(TRIM(UPPER($B158))," ",,TRUE),1,1,TRUE)),puestos!$C$2:$C$324,puestos!$B$2:$B$324),"SIN PUESTO"))</f>
        <v>LIDER DE GRUPO A</v>
      </c>
    </row>
    <row r="159" spans="1:12" x14ac:dyDescent="0.35">
      <c r="A159">
        <v>20067</v>
      </c>
      <c r="B159" t="s">
        <v>274</v>
      </c>
      <c r="D159" t="s">
        <v>595</v>
      </c>
      <c r="E159" t="s">
        <v>213</v>
      </c>
      <c r="F159" t="s">
        <v>660</v>
      </c>
      <c r="G159" t="s">
        <v>690</v>
      </c>
      <c r="H159" t="s">
        <v>823</v>
      </c>
      <c r="I159">
        <v>35</v>
      </c>
      <c r="J159" s="1" t="s">
        <v>965</v>
      </c>
      <c r="L159" t="str">
        <f>IF($B159="","",IFERROR(_xlfn.XLOOKUP(_xlfn.TEXTJOIN(" ",TRUE,_xlfn._xlws.SORT(_xlfn.TEXTSPLIT(TRIM(UPPER($B159))," ",,TRUE),1,1,TRUE)),puestos!$C$2:$C$324,puestos!$B$2:$B$324),"SIN PUESTO"))</f>
        <v>AYUDANTE GENERAL A</v>
      </c>
    </row>
    <row r="160" spans="1:12" x14ac:dyDescent="0.35">
      <c r="A160">
        <v>20068</v>
      </c>
      <c r="B160" t="s">
        <v>275</v>
      </c>
      <c r="D160" t="s">
        <v>596</v>
      </c>
      <c r="E160" t="s">
        <v>213</v>
      </c>
      <c r="F160" t="s">
        <v>660</v>
      </c>
      <c r="G160" t="s">
        <v>690</v>
      </c>
      <c r="H160" t="s">
        <v>823</v>
      </c>
      <c r="I160">
        <v>25</v>
      </c>
      <c r="J160" s="1" t="s">
        <v>966</v>
      </c>
      <c r="L160" t="str">
        <f>IF($B160="","",IFERROR(_xlfn.XLOOKUP(_xlfn.TEXTJOIN(" ",TRUE,_xlfn._xlws.SORT(_xlfn.TEXTSPLIT(TRIM(UPPER($B160))," ",,TRUE),1,1,TRUE)),puestos!$C$2:$C$324,puestos!$B$2:$B$324),"SIN PUESTO"))</f>
        <v>LIDER DE GRUPO A</v>
      </c>
    </row>
    <row r="161" spans="1:12" x14ac:dyDescent="0.35">
      <c r="A161">
        <v>20069</v>
      </c>
      <c r="B161" t="s">
        <v>276</v>
      </c>
      <c r="C161" t="s">
        <v>818</v>
      </c>
      <c r="D161" t="s">
        <v>597</v>
      </c>
      <c r="E161" t="s">
        <v>125</v>
      </c>
      <c r="F161" t="s">
        <v>659</v>
      </c>
      <c r="G161" t="s">
        <v>680</v>
      </c>
      <c r="H161" t="s">
        <v>12</v>
      </c>
      <c r="I161">
        <v>18</v>
      </c>
      <c r="J161" s="1" t="s">
        <v>876</v>
      </c>
      <c r="K161" t="s">
        <v>1008</v>
      </c>
      <c r="L161" t="str">
        <f>IF($B161="","",IFERROR(_xlfn.XLOOKUP(_xlfn.TEXTJOIN(" ",TRUE,_xlfn._xlws.SORT(_xlfn.TEXTSPLIT(TRIM(UPPER($B161))," ",,TRUE),1,1,TRUE)),puestos!$C$2:$C$324,puestos!$B$2:$B$324),"SIN PUESTO"))</f>
        <v>ANALISTA DE GENTE &amp; GESTION</v>
      </c>
    </row>
    <row r="162" spans="1:12" x14ac:dyDescent="0.35">
      <c r="A162">
        <v>20070</v>
      </c>
      <c r="B162" t="s">
        <v>277</v>
      </c>
      <c r="D162" t="s">
        <v>598</v>
      </c>
      <c r="E162" t="s">
        <v>306</v>
      </c>
      <c r="F162" t="s">
        <v>660</v>
      </c>
      <c r="G162" t="s">
        <v>690</v>
      </c>
      <c r="H162" t="s">
        <v>823</v>
      </c>
      <c r="I162">
        <v>29</v>
      </c>
      <c r="J162" s="1" t="s">
        <v>967</v>
      </c>
      <c r="L162" t="str">
        <f>IF($B162="","",IFERROR(_xlfn.XLOOKUP(_xlfn.TEXTJOIN(" ",TRUE,_xlfn._xlws.SORT(_xlfn.TEXTSPLIT(TRIM(UPPER($B162))," ",,TRUE),1,1,TRUE)),puestos!$C$2:$C$324,puestos!$B$2:$B$324),"SIN PUESTO"))</f>
        <v>AYUDANTE GENERAL A</v>
      </c>
    </row>
    <row r="163" spans="1:12" x14ac:dyDescent="0.35">
      <c r="A163">
        <v>20071</v>
      </c>
      <c r="B163" t="s">
        <v>278</v>
      </c>
      <c r="D163" t="s">
        <v>599</v>
      </c>
      <c r="E163" t="s">
        <v>213</v>
      </c>
      <c r="F163" t="s">
        <v>660</v>
      </c>
      <c r="G163" t="s">
        <v>690</v>
      </c>
      <c r="H163" t="s">
        <v>823</v>
      </c>
      <c r="I163">
        <v>9</v>
      </c>
      <c r="J163" s="1" t="s">
        <v>967</v>
      </c>
      <c r="L163" t="str">
        <f>IF($B163="","",IFERROR(_xlfn.XLOOKUP(_xlfn.TEXTJOIN(" ",TRUE,_xlfn._xlws.SORT(_xlfn.TEXTSPLIT(TRIM(UPPER($B163))," ",,TRUE),1,1,TRUE)),puestos!$C$2:$C$324,puestos!$B$2:$B$324),"SIN PUESTO"))</f>
        <v>AYUDANTE GENERAL A</v>
      </c>
    </row>
    <row r="164" spans="1:12" x14ac:dyDescent="0.35">
      <c r="A164">
        <v>20073</v>
      </c>
      <c r="B164" t="s">
        <v>279</v>
      </c>
      <c r="D164" t="s">
        <v>600</v>
      </c>
      <c r="E164" t="s">
        <v>213</v>
      </c>
      <c r="F164" t="s">
        <v>660</v>
      </c>
      <c r="G164" t="s">
        <v>690</v>
      </c>
      <c r="H164" t="s">
        <v>823</v>
      </c>
      <c r="I164">
        <v>30</v>
      </c>
      <c r="J164" s="1" t="s">
        <v>968</v>
      </c>
      <c r="L164" t="str">
        <f>IF($B164="","",IFERROR(_xlfn.XLOOKUP(_xlfn.TEXTJOIN(" ",TRUE,_xlfn._xlws.SORT(_xlfn.TEXTSPLIT(TRIM(UPPER($B164))," ",,TRUE),1,1,TRUE)),puestos!$C$2:$C$324,puestos!$B$2:$B$324),"SIN PUESTO"))</f>
        <v>AYUDANTE GENERAL A</v>
      </c>
    </row>
    <row r="165" spans="1:12" x14ac:dyDescent="0.35">
      <c r="A165">
        <v>20074</v>
      </c>
      <c r="B165" t="s">
        <v>280</v>
      </c>
      <c r="D165" t="s">
        <v>601</v>
      </c>
      <c r="E165" t="s">
        <v>306</v>
      </c>
      <c r="F165" t="s">
        <v>660</v>
      </c>
      <c r="G165" t="s">
        <v>690</v>
      </c>
      <c r="H165" t="s">
        <v>823</v>
      </c>
      <c r="I165">
        <v>18</v>
      </c>
      <c r="J165" s="1" t="s">
        <v>969</v>
      </c>
      <c r="L165" t="str">
        <f>IF($B165="","",IFERROR(_xlfn.XLOOKUP(_xlfn.TEXTJOIN(" ",TRUE,_xlfn._xlws.SORT(_xlfn.TEXTSPLIT(TRIM(UPPER($B165))," ",,TRUE),1,1,TRUE)),puestos!$C$2:$C$324,puestos!$B$2:$B$324),"SIN PUESTO"))</f>
        <v>AYUDANTE GENERAL A</v>
      </c>
    </row>
    <row r="166" spans="1:12" x14ac:dyDescent="0.35">
      <c r="A166">
        <v>20075</v>
      </c>
      <c r="B166" t="s">
        <v>281</v>
      </c>
      <c r="D166" t="s">
        <v>602</v>
      </c>
      <c r="E166" t="s">
        <v>213</v>
      </c>
      <c r="F166" t="s">
        <v>660</v>
      </c>
      <c r="G166" t="s">
        <v>690</v>
      </c>
      <c r="H166" t="s">
        <v>823</v>
      </c>
      <c r="I166">
        <v>24</v>
      </c>
      <c r="J166" s="1" t="s">
        <v>969</v>
      </c>
      <c r="L166" t="str">
        <f>IF($B166="","",IFERROR(_xlfn.XLOOKUP(_xlfn.TEXTJOIN(" ",TRUE,_xlfn._xlws.SORT(_xlfn.TEXTSPLIT(TRIM(UPPER($B166))," ",,TRUE),1,1,TRUE)),puestos!$C$2:$C$324,puestos!$B$2:$B$324),"SIN PUESTO"))</f>
        <v>AYUDANTE GENERAL A</v>
      </c>
    </row>
    <row r="167" spans="1:12" x14ac:dyDescent="0.35">
      <c r="A167">
        <v>20076</v>
      </c>
      <c r="B167" t="s">
        <v>282</v>
      </c>
      <c r="D167" t="s">
        <v>603</v>
      </c>
      <c r="E167" t="s">
        <v>219</v>
      </c>
      <c r="F167" t="s">
        <v>658</v>
      </c>
      <c r="G167" t="s">
        <v>691</v>
      </c>
      <c r="H167" t="s">
        <v>823</v>
      </c>
      <c r="I167">
        <v>36</v>
      </c>
      <c r="J167" s="1" t="s">
        <v>969</v>
      </c>
      <c r="L167" t="str">
        <f>IF($B167="","",IFERROR(_xlfn.XLOOKUP(_xlfn.TEXTJOIN(" ",TRUE,_xlfn._xlws.SORT(_xlfn.TEXTSPLIT(TRIM(UPPER($B167))," ",,TRUE),1,1,TRUE)),puestos!$C$2:$C$324,puestos!$B$2:$B$324),"SIN PUESTO"))</f>
        <v>AUXILIAR DE BODEGA</v>
      </c>
    </row>
    <row r="168" spans="1:12" x14ac:dyDescent="0.35">
      <c r="A168">
        <v>20077</v>
      </c>
      <c r="B168" t="s">
        <v>283</v>
      </c>
      <c r="D168" t="s">
        <v>604</v>
      </c>
      <c r="E168" t="s">
        <v>213</v>
      </c>
      <c r="F168" t="s">
        <v>660</v>
      </c>
      <c r="G168" t="s">
        <v>690</v>
      </c>
      <c r="H168" t="s">
        <v>823</v>
      </c>
      <c r="I168">
        <v>20</v>
      </c>
      <c r="J168" s="1" t="s">
        <v>969</v>
      </c>
      <c r="L168" t="str">
        <f>IF($B168="","",IFERROR(_xlfn.XLOOKUP(_xlfn.TEXTJOIN(" ",TRUE,_xlfn._xlws.SORT(_xlfn.TEXTSPLIT(TRIM(UPPER($B168))," ",,TRUE),1,1,TRUE)),puestos!$C$2:$C$324,puestos!$B$2:$B$324),"SIN PUESTO"))</f>
        <v>AYUDANTE GENERAL A</v>
      </c>
    </row>
    <row r="169" spans="1:12" x14ac:dyDescent="0.35">
      <c r="A169">
        <v>20079</v>
      </c>
      <c r="B169" t="s">
        <v>284</v>
      </c>
      <c r="D169" t="s">
        <v>605</v>
      </c>
      <c r="E169" t="s">
        <v>289</v>
      </c>
      <c r="F169" t="s">
        <v>660</v>
      </c>
      <c r="G169" t="s">
        <v>689</v>
      </c>
      <c r="H169" t="s">
        <v>823</v>
      </c>
      <c r="I169">
        <v>31</v>
      </c>
      <c r="J169" s="1" t="s">
        <v>970</v>
      </c>
      <c r="L169" t="str">
        <f>IF($B169="","",IFERROR(_xlfn.XLOOKUP(_xlfn.TEXTJOIN(" ",TRUE,_xlfn._xlws.SORT(_xlfn.TEXTSPLIT(TRIM(UPPER($B169))," ",,TRUE),1,1,TRUE)),puestos!$C$2:$C$324,puestos!$B$2:$B$324),"SIN PUESTO"))</f>
        <v>TECNICO ESPECIALISTA</v>
      </c>
    </row>
    <row r="170" spans="1:12" x14ac:dyDescent="0.35">
      <c r="A170">
        <v>20080</v>
      </c>
      <c r="B170" t="s">
        <v>285</v>
      </c>
      <c r="D170" t="s">
        <v>606</v>
      </c>
      <c r="E170" t="s">
        <v>306</v>
      </c>
      <c r="F170" t="s">
        <v>660</v>
      </c>
      <c r="G170" t="s">
        <v>690</v>
      </c>
      <c r="H170" t="s">
        <v>823</v>
      </c>
      <c r="I170">
        <v>32</v>
      </c>
      <c r="J170" s="1" t="s">
        <v>971</v>
      </c>
      <c r="L170" t="str">
        <f>IF($B170="","",IFERROR(_xlfn.XLOOKUP(_xlfn.TEXTJOIN(" ",TRUE,_xlfn._xlws.SORT(_xlfn.TEXTSPLIT(TRIM(UPPER($B170))," ",,TRUE),1,1,TRUE)),puestos!$C$2:$C$324,puestos!$B$2:$B$324),"SIN PUESTO"))</f>
        <v>AYUDANTE GENERAL A</v>
      </c>
    </row>
    <row r="171" spans="1:12" x14ac:dyDescent="0.35">
      <c r="A171">
        <v>20081</v>
      </c>
      <c r="B171" t="s">
        <v>286</v>
      </c>
      <c r="D171" t="s">
        <v>607</v>
      </c>
      <c r="E171" t="s">
        <v>306</v>
      </c>
      <c r="F171" t="s">
        <v>660</v>
      </c>
      <c r="G171" t="s">
        <v>690</v>
      </c>
      <c r="H171" t="s">
        <v>823</v>
      </c>
      <c r="I171">
        <v>23</v>
      </c>
      <c r="J171" s="1" t="s">
        <v>972</v>
      </c>
      <c r="L171" t="str">
        <f>IF($B171="","",IFERROR(_xlfn.XLOOKUP(_xlfn.TEXTJOIN(" ",TRUE,_xlfn._xlws.SORT(_xlfn.TEXTSPLIT(TRIM(UPPER($B171))," ",,TRUE),1,1,TRUE)),puestos!$C$2:$C$324,puestos!$B$2:$B$324),"SIN PUESTO"))</f>
        <v>AYUDANTE GENERAL A</v>
      </c>
    </row>
    <row r="172" spans="1:12" x14ac:dyDescent="0.35">
      <c r="A172">
        <v>20082</v>
      </c>
      <c r="B172" t="s">
        <v>287</v>
      </c>
      <c r="D172" t="s">
        <v>608</v>
      </c>
      <c r="E172" t="s">
        <v>299</v>
      </c>
      <c r="F172" t="s">
        <v>660</v>
      </c>
      <c r="G172" t="s">
        <v>690</v>
      </c>
      <c r="H172" t="s">
        <v>823</v>
      </c>
      <c r="I172">
        <v>13</v>
      </c>
      <c r="J172" s="1" t="s">
        <v>973</v>
      </c>
      <c r="L172" t="str">
        <f>IF($B172="","",IFERROR(_xlfn.XLOOKUP(_xlfn.TEXTJOIN(" ",TRUE,_xlfn._xlws.SORT(_xlfn.TEXTSPLIT(TRIM(UPPER($B172))," ",,TRUE),1,1,TRUE)),puestos!$C$2:$C$324,puestos!$B$2:$B$324),"SIN PUESTO"))</f>
        <v>AYUDANTE GENERAL A</v>
      </c>
    </row>
    <row r="173" spans="1:12" x14ac:dyDescent="0.35">
      <c r="A173">
        <v>20083</v>
      </c>
      <c r="B173" t="s">
        <v>288</v>
      </c>
      <c r="D173" t="s">
        <v>609</v>
      </c>
      <c r="E173" t="s">
        <v>306</v>
      </c>
      <c r="F173" t="s">
        <v>660</v>
      </c>
      <c r="G173" t="s">
        <v>690</v>
      </c>
      <c r="H173" t="s">
        <v>823</v>
      </c>
      <c r="I173">
        <v>19</v>
      </c>
      <c r="J173" s="1" t="s">
        <v>973</v>
      </c>
      <c r="L173" t="str">
        <f>IF($B173="","",IFERROR(_xlfn.XLOOKUP(_xlfn.TEXTJOIN(" ",TRUE,_xlfn._xlws.SORT(_xlfn.TEXTSPLIT(TRIM(UPPER($B173))," ",,TRUE),1,1,TRUE)),puestos!$C$2:$C$324,puestos!$B$2:$B$324),"SIN PUESTO"))</f>
        <v>AYUDANTE GENERAL A</v>
      </c>
    </row>
    <row r="174" spans="1:12" x14ac:dyDescent="0.35">
      <c r="A174">
        <v>20084</v>
      </c>
      <c r="B174" t="s">
        <v>289</v>
      </c>
      <c r="C174" t="s">
        <v>819</v>
      </c>
      <c r="D174" t="s">
        <v>610</v>
      </c>
      <c r="E174" t="s">
        <v>189</v>
      </c>
      <c r="F174" t="s">
        <v>660</v>
      </c>
      <c r="G174" t="s">
        <v>689</v>
      </c>
      <c r="H174" t="s">
        <v>12</v>
      </c>
      <c r="I174">
        <v>13</v>
      </c>
      <c r="J174" s="1" t="s">
        <v>973</v>
      </c>
      <c r="L174" t="str">
        <f>IF($B174="","",IFERROR(_xlfn.XLOOKUP(_xlfn.TEXTJOIN(" ",TRUE,_xlfn._xlws.SORT(_xlfn.TEXTSPLIT(TRIM(UPPER($B174))," ",,TRUE),1,1,TRUE)),puestos!$C$2:$C$324,puestos!$B$2:$B$324),"SIN PUESTO"))</f>
        <v>JEFE DE MANTENIMIENTO</v>
      </c>
    </row>
    <row r="175" spans="1:12" x14ac:dyDescent="0.35">
      <c r="A175">
        <v>20085</v>
      </c>
      <c r="B175" t="s">
        <v>290</v>
      </c>
      <c r="D175" t="s">
        <v>611</v>
      </c>
      <c r="E175" t="s">
        <v>263</v>
      </c>
      <c r="F175" t="s">
        <v>660</v>
      </c>
      <c r="G175" t="s">
        <v>688</v>
      </c>
      <c r="H175" t="s">
        <v>823</v>
      </c>
      <c r="I175">
        <v>8</v>
      </c>
      <c r="J175" s="1" t="s">
        <v>974</v>
      </c>
      <c r="L175" t="str">
        <f>IF($B175="","",IFERROR(_xlfn.XLOOKUP(_xlfn.TEXTJOIN(" ",TRUE,_xlfn._xlws.SORT(_xlfn.TEXTSPLIT(TRIM(UPPER($B175))," ",,TRUE),1,1,TRUE)),puestos!$C$2:$C$324,puestos!$B$2:$B$324),"SIN PUESTO"))</f>
        <v>INSPECTOR DE PROCESO CAPSULA</v>
      </c>
    </row>
    <row r="176" spans="1:12" x14ac:dyDescent="0.35">
      <c r="A176">
        <v>20086</v>
      </c>
      <c r="B176" t="s">
        <v>291</v>
      </c>
      <c r="D176" t="s">
        <v>612</v>
      </c>
      <c r="E176" t="s">
        <v>213</v>
      </c>
      <c r="F176" t="s">
        <v>660</v>
      </c>
      <c r="G176" t="s">
        <v>690</v>
      </c>
      <c r="H176" t="s">
        <v>823</v>
      </c>
      <c r="I176">
        <v>10</v>
      </c>
      <c r="J176" s="1" t="s">
        <v>975</v>
      </c>
      <c r="L176" t="str">
        <f>IF($B176="","",IFERROR(_xlfn.XLOOKUP(_xlfn.TEXTJOIN(" ",TRUE,_xlfn._xlws.SORT(_xlfn.TEXTSPLIT(TRIM(UPPER($B176))," ",,TRUE),1,1,TRUE)),puestos!$C$2:$C$324,puestos!$B$2:$B$324),"SIN PUESTO"))</f>
        <v>AYUDANTE GENERAL A</v>
      </c>
    </row>
    <row r="177" spans="1:12" x14ac:dyDescent="0.35">
      <c r="A177">
        <v>20087</v>
      </c>
      <c r="B177" t="s">
        <v>292</v>
      </c>
      <c r="D177" t="s">
        <v>613</v>
      </c>
      <c r="E177" t="s">
        <v>219</v>
      </c>
      <c r="F177" t="s">
        <v>658</v>
      </c>
      <c r="G177" t="s">
        <v>691</v>
      </c>
      <c r="H177" t="s">
        <v>823</v>
      </c>
      <c r="I177">
        <v>14</v>
      </c>
      <c r="J177" s="1" t="s">
        <v>976</v>
      </c>
      <c r="L177" t="str">
        <f>IF($B177="","",IFERROR(_xlfn.XLOOKUP(_xlfn.TEXTJOIN(" ",TRUE,_xlfn._xlws.SORT(_xlfn.TEXTSPLIT(TRIM(UPPER($B177))," ",,TRUE),1,1,TRUE)),puestos!$C$2:$C$324,puestos!$B$2:$B$324),"SIN PUESTO"))</f>
        <v>AUXILIAR DE BODEGA</v>
      </c>
    </row>
    <row r="178" spans="1:12" x14ac:dyDescent="0.35">
      <c r="A178">
        <v>20088</v>
      </c>
      <c r="B178" t="s">
        <v>293</v>
      </c>
      <c r="C178" t="s">
        <v>820</v>
      </c>
      <c r="D178" t="s">
        <v>614</v>
      </c>
      <c r="E178" t="s">
        <v>58</v>
      </c>
      <c r="F178" t="s">
        <v>657</v>
      </c>
      <c r="G178" t="s">
        <v>672</v>
      </c>
      <c r="H178" t="s">
        <v>12</v>
      </c>
      <c r="I178">
        <v>8</v>
      </c>
      <c r="J178" s="1" t="s">
        <v>977</v>
      </c>
      <c r="L178" t="str">
        <f>IF($B178="","",IFERROR(_xlfn.XLOOKUP(_xlfn.TEXTJOIN(" ",TRUE,_xlfn._xlws.SORT(_xlfn.TEXTSPLIT(TRIM(UPPER($B178))," ",,TRUE),1,1,TRUE)),puestos!$C$2:$C$324,puestos!$B$2:$B$324),"SIN PUESTO"))</f>
        <v>ANALISTA DE COSTOS</v>
      </c>
    </row>
    <row r="179" spans="1:12" x14ac:dyDescent="0.35">
      <c r="A179">
        <v>20090</v>
      </c>
      <c r="B179" t="s">
        <v>294</v>
      </c>
      <c r="D179" t="s">
        <v>615</v>
      </c>
      <c r="E179" t="s">
        <v>213</v>
      </c>
      <c r="F179" t="s">
        <v>660</v>
      </c>
      <c r="G179" t="s">
        <v>690</v>
      </c>
      <c r="H179" t="s">
        <v>823</v>
      </c>
      <c r="I179">
        <v>13</v>
      </c>
      <c r="J179" s="1" t="s">
        <v>978</v>
      </c>
      <c r="L179" t="str">
        <f>IF($B179="","",IFERROR(_xlfn.XLOOKUP(_xlfn.TEXTJOIN(" ",TRUE,_xlfn._xlws.SORT(_xlfn.TEXTSPLIT(TRIM(UPPER($B179))," ",,TRUE),1,1,TRUE)),puestos!$C$2:$C$324,puestos!$B$2:$B$324),"SIN PUESTO"))</f>
        <v>AYUDANTE GENERAL A</v>
      </c>
    </row>
    <row r="180" spans="1:12" x14ac:dyDescent="0.35">
      <c r="A180">
        <v>20091</v>
      </c>
      <c r="B180" t="s">
        <v>295</v>
      </c>
      <c r="D180" t="s">
        <v>616</v>
      </c>
      <c r="E180" t="s">
        <v>306</v>
      </c>
      <c r="F180" t="s">
        <v>660</v>
      </c>
      <c r="G180" t="s">
        <v>690</v>
      </c>
      <c r="H180" t="s">
        <v>823</v>
      </c>
      <c r="I180">
        <v>13</v>
      </c>
      <c r="J180" s="1" t="s">
        <v>979</v>
      </c>
      <c r="L180" t="str">
        <f>IF($B180="","",IFERROR(_xlfn.XLOOKUP(_xlfn.TEXTJOIN(" ",TRUE,_xlfn._xlws.SORT(_xlfn.TEXTSPLIT(TRIM(UPPER($B180))," ",,TRUE),1,1,TRUE)),puestos!$C$2:$C$324,puestos!$B$2:$B$324),"SIN PUESTO"))</f>
        <v>AYUDANTE GENERAL A</v>
      </c>
    </row>
    <row r="181" spans="1:12" x14ac:dyDescent="0.35">
      <c r="A181">
        <v>20092</v>
      </c>
      <c r="B181" t="s">
        <v>296</v>
      </c>
      <c r="D181" t="s">
        <v>617</v>
      </c>
      <c r="E181" t="s">
        <v>226</v>
      </c>
      <c r="F181" t="s">
        <v>658</v>
      </c>
      <c r="G181" t="s">
        <v>691</v>
      </c>
      <c r="H181" t="s">
        <v>823</v>
      </c>
      <c r="I181">
        <v>17</v>
      </c>
      <c r="J181" s="1" t="s">
        <v>979</v>
      </c>
      <c r="L181" t="str">
        <f>IF($B181="","",IFERROR(_xlfn.XLOOKUP(_xlfn.TEXTJOIN(" ",TRUE,_xlfn._xlws.SORT(_xlfn.TEXTSPLIT(TRIM(UPPER($B181))," ",,TRUE),1,1,TRUE)),puestos!$C$2:$C$324,puestos!$B$2:$B$324),"SIN PUESTO"))</f>
        <v>AUXILIAR DE BODEGA</v>
      </c>
    </row>
    <row r="182" spans="1:12" x14ac:dyDescent="0.35">
      <c r="A182">
        <v>20093</v>
      </c>
      <c r="B182" t="s">
        <v>297</v>
      </c>
      <c r="D182" t="s">
        <v>618</v>
      </c>
      <c r="E182" t="s">
        <v>125</v>
      </c>
      <c r="F182" t="s">
        <v>660</v>
      </c>
      <c r="G182" t="s">
        <v>690</v>
      </c>
      <c r="H182" t="s">
        <v>823</v>
      </c>
      <c r="I182">
        <v>11</v>
      </c>
      <c r="J182" s="1" t="s">
        <v>980</v>
      </c>
      <c r="L182" t="str">
        <f>IF($B182="","",IFERROR(_xlfn.XLOOKUP(_xlfn.TEXTJOIN(" ",TRUE,_xlfn._xlws.SORT(_xlfn.TEXTSPLIT(TRIM(UPPER($B182))," ",,TRUE),1,1,TRUE)),puestos!$C$2:$C$324,puestos!$B$2:$B$324),"SIN PUESTO"))</f>
        <v>AYUDANTE GENERAL A</v>
      </c>
    </row>
    <row r="183" spans="1:12" x14ac:dyDescent="0.35">
      <c r="A183">
        <v>20094</v>
      </c>
      <c r="B183" t="s">
        <v>298</v>
      </c>
      <c r="D183" t="s">
        <v>619</v>
      </c>
      <c r="E183" t="s">
        <v>299</v>
      </c>
      <c r="F183" t="s">
        <v>660</v>
      </c>
      <c r="G183" t="s">
        <v>690</v>
      </c>
      <c r="H183" t="s">
        <v>823</v>
      </c>
      <c r="I183">
        <v>23</v>
      </c>
      <c r="J183" s="1" t="s">
        <v>981</v>
      </c>
      <c r="L183" t="str">
        <f>IF($B183="","",IFERROR(_xlfn.XLOOKUP(_xlfn.TEXTJOIN(" ",TRUE,_xlfn._xlws.SORT(_xlfn.TEXTSPLIT(TRIM(UPPER($B183))," ",,TRUE),1,1,TRUE)),puestos!$C$2:$C$324,puestos!$B$2:$B$324),"SIN PUESTO"))</f>
        <v>AYUDANTE GENERAL A</v>
      </c>
    </row>
    <row r="184" spans="1:12" x14ac:dyDescent="0.35">
      <c r="A184">
        <v>20095</v>
      </c>
      <c r="B184" t="s">
        <v>299</v>
      </c>
      <c r="D184" t="s">
        <v>620</v>
      </c>
      <c r="E184" t="s">
        <v>126</v>
      </c>
      <c r="F184" t="s">
        <v>660</v>
      </c>
      <c r="G184" t="s">
        <v>681</v>
      </c>
      <c r="H184" t="s">
        <v>823</v>
      </c>
      <c r="I184">
        <v>20</v>
      </c>
      <c r="J184" s="1" t="s">
        <v>982</v>
      </c>
      <c r="L184" t="str">
        <f>IF($B184="","",IFERROR(_xlfn.XLOOKUP(_xlfn.TEXTJOIN(" ",TRUE,_xlfn._xlws.SORT(_xlfn.TEXTSPLIT(TRIM(UPPER($B184))," ",,TRUE),1,1,TRUE)),puestos!$C$2:$C$324,puestos!$B$2:$B$324),"SIN PUESTO"))</f>
        <v xml:space="preserve">COORDINADOR DE PRODUCCION </v>
      </c>
    </row>
    <row r="185" spans="1:12" x14ac:dyDescent="0.35">
      <c r="A185">
        <v>20096</v>
      </c>
      <c r="B185" t="s">
        <v>300</v>
      </c>
      <c r="D185" t="s">
        <v>621</v>
      </c>
      <c r="E185" t="s">
        <v>271</v>
      </c>
      <c r="F185" t="s">
        <v>660</v>
      </c>
      <c r="G185" t="s">
        <v>688</v>
      </c>
      <c r="H185" t="s">
        <v>823</v>
      </c>
      <c r="I185">
        <v>16</v>
      </c>
      <c r="J185" s="1" t="s">
        <v>983</v>
      </c>
      <c r="L185" t="str">
        <f>IF($B185="","",IFERROR(_xlfn.XLOOKUP(_xlfn.TEXTJOIN(" ",TRUE,_xlfn._xlws.SORT(_xlfn.TEXTSPLIT(TRIM(UPPER($B185))," ",,TRUE),1,1,TRUE)),puestos!$C$2:$C$324,puestos!$B$2:$B$324),"SIN PUESTO"))</f>
        <v>ANALISTA DE INOCUIDAD</v>
      </c>
    </row>
    <row r="186" spans="1:12" x14ac:dyDescent="0.35">
      <c r="A186">
        <v>20098</v>
      </c>
      <c r="B186" t="s">
        <v>301</v>
      </c>
      <c r="D186" t="s">
        <v>622</v>
      </c>
      <c r="E186" t="s">
        <v>125</v>
      </c>
      <c r="F186" t="s">
        <v>658</v>
      </c>
      <c r="G186" t="s">
        <v>671</v>
      </c>
      <c r="H186" t="s">
        <v>823</v>
      </c>
      <c r="I186">
        <v>16</v>
      </c>
      <c r="J186" s="1" t="s">
        <v>984</v>
      </c>
      <c r="L186" t="str">
        <f>IF($B186="","",IFERROR(_xlfn.XLOOKUP(_xlfn.TEXTJOIN(" ",TRUE,_xlfn._xlws.SORT(_xlfn.TEXTSPLIT(TRIM(UPPER($B186))," ",,TRUE),1,1,TRUE)),puestos!$C$2:$C$324,puestos!$B$2:$B$324),"SIN PUESTO"))</f>
        <v>CHOFER</v>
      </c>
    </row>
    <row r="187" spans="1:12" x14ac:dyDescent="0.35">
      <c r="A187">
        <v>20099</v>
      </c>
      <c r="B187" t="s">
        <v>302</v>
      </c>
      <c r="D187" t="s">
        <v>623</v>
      </c>
      <c r="E187" t="s">
        <v>299</v>
      </c>
      <c r="F187" t="s">
        <v>660</v>
      </c>
      <c r="G187" t="s">
        <v>690</v>
      </c>
      <c r="H187" t="s">
        <v>823</v>
      </c>
      <c r="I187">
        <v>15</v>
      </c>
      <c r="J187" s="1" t="s">
        <v>985</v>
      </c>
      <c r="L187" t="str">
        <f>IF($B187="","",IFERROR(_xlfn.XLOOKUP(_xlfn.TEXTJOIN(" ",TRUE,_xlfn._xlws.SORT(_xlfn.TEXTSPLIT(TRIM(UPPER($B187))," ",,TRUE),1,1,TRUE)),puestos!$C$2:$C$324,puestos!$B$2:$B$324),"SIN PUESTO"))</f>
        <v>TECNICO OPERATIVO SOLUBLES</v>
      </c>
    </row>
    <row r="188" spans="1:12" x14ac:dyDescent="0.35">
      <c r="A188">
        <v>20100</v>
      </c>
      <c r="B188" t="s">
        <v>303</v>
      </c>
      <c r="D188" t="s">
        <v>624</v>
      </c>
      <c r="E188" t="s">
        <v>306</v>
      </c>
      <c r="F188" t="s">
        <v>660</v>
      </c>
      <c r="G188" t="s">
        <v>690</v>
      </c>
      <c r="H188" t="s">
        <v>823</v>
      </c>
      <c r="I188">
        <v>10</v>
      </c>
      <c r="J188" s="1" t="s">
        <v>986</v>
      </c>
      <c r="L188" t="str">
        <f>IF($B188="","",IFERROR(_xlfn.XLOOKUP(_xlfn.TEXTJOIN(" ",TRUE,_xlfn._xlws.SORT(_xlfn.TEXTSPLIT(TRIM(UPPER($B188))," ",,TRUE),1,1,TRUE)),puestos!$C$2:$C$324,puestos!$B$2:$B$324),"SIN PUESTO"))</f>
        <v>AYUDANTE GENERAL A</v>
      </c>
    </row>
    <row r="189" spans="1:12" x14ac:dyDescent="0.35">
      <c r="A189">
        <v>20101</v>
      </c>
      <c r="B189" t="s">
        <v>304</v>
      </c>
      <c r="D189" t="s">
        <v>625</v>
      </c>
      <c r="E189" t="s">
        <v>306</v>
      </c>
      <c r="F189" t="s">
        <v>660</v>
      </c>
      <c r="G189" t="s">
        <v>690</v>
      </c>
      <c r="H189" t="s">
        <v>823</v>
      </c>
      <c r="I189">
        <v>8</v>
      </c>
      <c r="J189" s="1" t="s">
        <v>986</v>
      </c>
      <c r="L189" t="str">
        <f>IF($B189="","",IFERROR(_xlfn.XLOOKUP(_xlfn.TEXTJOIN(" ",TRUE,_xlfn._xlws.SORT(_xlfn.TEXTSPLIT(TRIM(UPPER($B189))," ",,TRUE),1,1,TRUE)),puestos!$C$2:$C$324,puestos!$B$2:$B$324),"SIN PUESTO"))</f>
        <v>AYUDANTE GENERAL A</v>
      </c>
    </row>
    <row r="190" spans="1:12" x14ac:dyDescent="0.35">
      <c r="A190">
        <v>20102</v>
      </c>
      <c r="B190" t="s">
        <v>305</v>
      </c>
      <c r="D190" t="s">
        <v>626</v>
      </c>
      <c r="E190" t="s">
        <v>306</v>
      </c>
      <c r="F190" t="s">
        <v>660</v>
      </c>
      <c r="G190" t="s">
        <v>690</v>
      </c>
      <c r="H190" t="s">
        <v>823</v>
      </c>
      <c r="I190">
        <v>11</v>
      </c>
      <c r="J190" s="1" t="s">
        <v>987</v>
      </c>
      <c r="L190" t="str">
        <f>IF($B190="","",IFERROR(_xlfn.XLOOKUP(_xlfn.TEXTJOIN(" ",TRUE,_xlfn._xlws.SORT(_xlfn.TEXTSPLIT(TRIM(UPPER($B190))," ",,TRUE),1,1,TRUE)),puestos!$C$2:$C$324,puestos!$B$2:$B$324),"SIN PUESTO"))</f>
        <v>AYUDANTE GENERAL A</v>
      </c>
    </row>
    <row r="191" spans="1:12" x14ac:dyDescent="0.35">
      <c r="A191">
        <v>20103</v>
      </c>
      <c r="B191" t="s">
        <v>306</v>
      </c>
      <c r="D191" t="s">
        <v>627</v>
      </c>
      <c r="E191" t="s">
        <v>126</v>
      </c>
      <c r="F191" t="s">
        <v>660</v>
      </c>
      <c r="G191" t="s">
        <v>690</v>
      </c>
      <c r="H191" t="s">
        <v>823</v>
      </c>
      <c r="I191">
        <v>6</v>
      </c>
      <c r="J191" s="1" t="s">
        <v>988</v>
      </c>
      <c r="L191" t="str">
        <f>IF($B191="","",IFERROR(_xlfn.XLOOKUP(_xlfn.TEXTJOIN(" ",TRUE,_xlfn._xlws.SORT(_xlfn.TEXTSPLIT(TRIM(UPPER($B191))," ",,TRUE),1,1,TRUE)),puestos!$C$2:$C$324,puestos!$B$2:$B$324),"SIN PUESTO"))</f>
        <v xml:space="preserve">COORDINADOR DE PRODUCCION </v>
      </c>
    </row>
    <row r="192" spans="1:12" x14ac:dyDescent="0.35">
      <c r="A192">
        <v>20104</v>
      </c>
      <c r="B192" t="s">
        <v>307</v>
      </c>
      <c r="D192" t="s">
        <v>628</v>
      </c>
      <c r="E192" t="s">
        <v>263</v>
      </c>
      <c r="F192" t="s">
        <v>660</v>
      </c>
      <c r="G192" t="s">
        <v>688</v>
      </c>
      <c r="H192" t="s">
        <v>823</v>
      </c>
      <c r="I192">
        <v>10</v>
      </c>
      <c r="J192" s="1" t="s">
        <v>988</v>
      </c>
      <c r="L192" t="str">
        <f>IF($B192="","",IFERROR(_xlfn.XLOOKUP(_xlfn.TEXTJOIN(" ",TRUE,_xlfn._xlws.SORT(_xlfn.TEXTSPLIT(TRIM(UPPER($B192))," ",,TRUE),1,1,TRUE)),puestos!$C$2:$C$324,puestos!$B$2:$B$324),"SIN PUESTO"))</f>
        <v>TECNICO EN LABORATORIO</v>
      </c>
    </row>
    <row r="193" spans="1:12" x14ac:dyDescent="0.35">
      <c r="A193">
        <v>20105</v>
      </c>
      <c r="B193" t="s">
        <v>308</v>
      </c>
      <c r="D193" t="s">
        <v>629</v>
      </c>
      <c r="E193" t="s">
        <v>213</v>
      </c>
      <c r="F193" t="s">
        <v>660</v>
      </c>
      <c r="G193" t="s">
        <v>690</v>
      </c>
      <c r="H193" t="s">
        <v>823</v>
      </c>
      <c r="I193">
        <v>8</v>
      </c>
      <c r="J193" s="1" t="s">
        <v>989</v>
      </c>
      <c r="L193" t="str">
        <f>IF($B193="","",IFERROR(_xlfn.XLOOKUP(_xlfn.TEXTJOIN(" ",TRUE,_xlfn._xlws.SORT(_xlfn.TEXTSPLIT(TRIM(UPPER($B193))," ",,TRUE),1,1,TRUE)),puestos!$C$2:$C$324,puestos!$B$2:$B$324),"SIN PUESTO"))</f>
        <v>AYUDANTE GENERAL A</v>
      </c>
    </row>
    <row r="194" spans="1:12" x14ac:dyDescent="0.35">
      <c r="A194">
        <v>20106</v>
      </c>
      <c r="B194" t="s">
        <v>309</v>
      </c>
      <c r="D194" t="s">
        <v>630</v>
      </c>
      <c r="E194" t="s">
        <v>299</v>
      </c>
      <c r="F194" t="s">
        <v>660</v>
      </c>
      <c r="G194" t="s">
        <v>690</v>
      </c>
      <c r="H194" t="s">
        <v>823</v>
      </c>
      <c r="I194">
        <v>8</v>
      </c>
      <c r="J194" s="1" t="s">
        <v>990</v>
      </c>
      <c r="L194" t="str">
        <f>IF($B194="","",IFERROR(_xlfn.XLOOKUP(_xlfn.TEXTJOIN(" ",TRUE,_xlfn._xlws.SORT(_xlfn.TEXTSPLIT(TRIM(UPPER($B194))," ",,TRUE),1,1,TRUE)),puestos!$C$2:$C$324,puestos!$B$2:$B$324),"SIN PUESTO"))</f>
        <v>LIDER DE GRUPO A</v>
      </c>
    </row>
    <row r="195" spans="1:12" x14ac:dyDescent="0.35">
      <c r="A195">
        <v>20107</v>
      </c>
      <c r="B195" t="s">
        <v>310</v>
      </c>
      <c r="D195" t="s">
        <v>631</v>
      </c>
      <c r="E195" t="s">
        <v>252</v>
      </c>
      <c r="F195" t="s">
        <v>660</v>
      </c>
      <c r="G195" t="s">
        <v>681</v>
      </c>
      <c r="H195" t="s">
        <v>823</v>
      </c>
      <c r="I195">
        <v>12</v>
      </c>
      <c r="J195" s="1" t="s">
        <v>991</v>
      </c>
      <c r="L195" t="str">
        <f>IF($B195="","",IFERROR(_xlfn.XLOOKUP(_xlfn.TEXTJOIN(" ",TRUE,_xlfn._xlws.SORT(_xlfn.TEXTSPLIT(TRIM(UPPER($B195))," ",,TRUE),1,1,TRUE)),puestos!$C$2:$C$324,puestos!$B$2:$B$324),"SIN PUESTO"))</f>
        <v>ANALISTA SSO</v>
      </c>
    </row>
    <row r="196" spans="1:12" x14ac:dyDescent="0.35">
      <c r="A196">
        <v>20108</v>
      </c>
      <c r="B196" t="s">
        <v>311</v>
      </c>
      <c r="D196" t="s">
        <v>632</v>
      </c>
      <c r="E196" t="s">
        <v>263</v>
      </c>
      <c r="F196" t="s">
        <v>660</v>
      </c>
      <c r="G196" t="s">
        <v>688</v>
      </c>
      <c r="H196" t="s">
        <v>823</v>
      </c>
      <c r="I196">
        <v>11</v>
      </c>
      <c r="J196" s="1" t="s">
        <v>992</v>
      </c>
      <c r="L196" t="str">
        <f>IF($B196="","",IFERROR(_xlfn.XLOOKUP(_xlfn.TEXTJOIN(" ",TRUE,_xlfn._xlws.SORT(_xlfn.TEXTSPLIT(TRIM(UPPER($B196))," ",,TRUE),1,1,TRUE)),puestos!$C$2:$C$324,puestos!$B$2:$B$324),"SIN PUESTO"))</f>
        <v>AYUDANTE GENERAL A</v>
      </c>
    </row>
    <row r="197" spans="1:12" x14ac:dyDescent="0.35">
      <c r="A197">
        <v>20109</v>
      </c>
      <c r="B197" t="s">
        <v>312</v>
      </c>
      <c r="D197" t="s">
        <v>633</v>
      </c>
      <c r="E197" t="s">
        <v>306</v>
      </c>
      <c r="F197" t="s">
        <v>660</v>
      </c>
      <c r="G197" t="s">
        <v>690</v>
      </c>
      <c r="H197" t="s">
        <v>823</v>
      </c>
      <c r="I197">
        <v>12</v>
      </c>
      <c r="J197" s="1" t="s">
        <v>993</v>
      </c>
      <c r="L197" t="str">
        <f>IF($B197="","",IFERROR(_xlfn.XLOOKUP(_xlfn.TEXTJOIN(" ",TRUE,_xlfn._xlws.SORT(_xlfn.TEXTSPLIT(TRIM(UPPER($B197))," ",,TRUE),1,1,TRUE)),puestos!$C$2:$C$324,puestos!$B$2:$B$324),"SIN PUESTO"))</f>
        <v>AYUDANTE GENERAL A</v>
      </c>
    </row>
    <row r="198" spans="1:12" x14ac:dyDescent="0.35">
      <c r="A198">
        <v>20110</v>
      </c>
      <c r="B198" t="s">
        <v>313</v>
      </c>
      <c r="D198" t="s">
        <v>634</v>
      </c>
      <c r="E198" t="s">
        <v>226</v>
      </c>
      <c r="F198" t="s">
        <v>658</v>
      </c>
      <c r="G198" t="s">
        <v>691</v>
      </c>
      <c r="H198" t="s">
        <v>823</v>
      </c>
      <c r="I198">
        <v>11</v>
      </c>
      <c r="J198" s="1" t="s">
        <v>994</v>
      </c>
      <c r="L198" t="str">
        <f>IF($B198="","",IFERROR(_xlfn.XLOOKUP(_xlfn.TEXTJOIN(" ",TRUE,_xlfn._xlws.SORT(_xlfn.TEXTSPLIT(TRIM(UPPER($B198))," ",,TRUE),1,1,TRUE)),puestos!$C$2:$C$324,puestos!$B$2:$B$324),"SIN PUESTO"))</f>
        <v>AUXILIAR DE BODEGA</v>
      </c>
    </row>
    <row r="199" spans="1:12" x14ac:dyDescent="0.35">
      <c r="A199">
        <v>20112</v>
      </c>
      <c r="B199" t="s">
        <v>314</v>
      </c>
      <c r="D199" t="s">
        <v>635</v>
      </c>
      <c r="E199" t="s">
        <v>299</v>
      </c>
      <c r="F199" t="s">
        <v>660</v>
      </c>
      <c r="G199" t="s">
        <v>690</v>
      </c>
      <c r="H199" t="s">
        <v>823</v>
      </c>
      <c r="I199">
        <v>12</v>
      </c>
      <c r="J199" s="1" t="s">
        <v>894</v>
      </c>
      <c r="L199" t="str">
        <f>IF($B199="","",IFERROR(_xlfn.XLOOKUP(_xlfn.TEXTJOIN(" ",TRUE,_xlfn._xlws.SORT(_xlfn.TEXTSPLIT(TRIM(UPPER($B199))," ",,TRUE),1,1,TRUE)),puestos!$C$2:$C$324,puestos!$B$2:$B$324),"SIN PUESTO"))</f>
        <v>AYUDANTE GENERAL A</v>
      </c>
    </row>
    <row r="200" spans="1:12" x14ac:dyDescent="0.35">
      <c r="A200">
        <v>20113</v>
      </c>
      <c r="B200" t="s">
        <v>315</v>
      </c>
      <c r="D200" t="s">
        <v>636</v>
      </c>
      <c r="E200" t="s">
        <v>299</v>
      </c>
      <c r="F200" t="s">
        <v>660</v>
      </c>
      <c r="G200" t="s">
        <v>690</v>
      </c>
      <c r="H200" t="s">
        <v>823</v>
      </c>
      <c r="I200">
        <v>11</v>
      </c>
      <c r="J200" s="1" t="s">
        <v>894</v>
      </c>
      <c r="L200" t="str">
        <f>IF($B200="","",IFERROR(_xlfn.XLOOKUP(_xlfn.TEXTJOIN(" ",TRUE,_xlfn._xlws.SORT(_xlfn.TEXTSPLIT(TRIM(UPPER($B200))," ",,TRUE),1,1,TRUE)),puestos!$C$2:$C$324,puestos!$B$2:$B$324),"SIN PUESTO"))</f>
        <v>AYUDANTE GENERAL A</v>
      </c>
    </row>
    <row r="201" spans="1:12" x14ac:dyDescent="0.35">
      <c r="A201">
        <v>20114</v>
      </c>
      <c r="B201" t="s">
        <v>316</v>
      </c>
      <c r="D201" t="s">
        <v>637</v>
      </c>
      <c r="E201" t="s">
        <v>299</v>
      </c>
      <c r="F201" t="s">
        <v>660</v>
      </c>
      <c r="G201" t="s">
        <v>690</v>
      </c>
      <c r="H201" t="s">
        <v>823</v>
      </c>
      <c r="I201">
        <v>12</v>
      </c>
      <c r="J201" s="1" t="s">
        <v>894</v>
      </c>
      <c r="L201" t="str">
        <f>IF($B201="","",IFERROR(_xlfn.XLOOKUP(_xlfn.TEXTJOIN(" ",TRUE,_xlfn._xlws.SORT(_xlfn.TEXTSPLIT(TRIM(UPPER($B201))," ",,TRUE),1,1,TRUE)),puestos!$C$2:$C$324,puestos!$B$2:$B$324),"SIN PUESTO"))</f>
        <v>AYUDANTE GENERAL A</v>
      </c>
    </row>
    <row r="202" spans="1:12" x14ac:dyDescent="0.35">
      <c r="A202">
        <v>20115</v>
      </c>
      <c r="B202" t="s">
        <v>317</v>
      </c>
      <c r="D202" t="s">
        <v>638</v>
      </c>
      <c r="E202" t="s">
        <v>226</v>
      </c>
      <c r="F202" t="s">
        <v>658</v>
      </c>
      <c r="G202" t="s">
        <v>691</v>
      </c>
      <c r="H202" t="s">
        <v>823</v>
      </c>
      <c r="I202">
        <v>11</v>
      </c>
      <c r="J202" s="1" t="s">
        <v>894</v>
      </c>
      <c r="L202" t="str">
        <f>IF($B202="","",IFERROR(_xlfn.XLOOKUP(_xlfn.TEXTJOIN(" ",TRUE,_xlfn._xlws.SORT(_xlfn.TEXTSPLIT(TRIM(UPPER($B202))," ",,TRUE),1,1,TRUE)),puestos!$C$2:$C$324,puestos!$B$2:$B$324),"SIN PUESTO"))</f>
        <v>AUXILIAR DE BODEGA</v>
      </c>
    </row>
    <row r="203" spans="1:12" x14ac:dyDescent="0.35">
      <c r="A203">
        <v>20116</v>
      </c>
      <c r="B203" t="s">
        <v>318</v>
      </c>
      <c r="D203" t="s">
        <v>639</v>
      </c>
      <c r="E203" t="s">
        <v>213</v>
      </c>
      <c r="F203" t="s">
        <v>660</v>
      </c>
      <c r="G203" t="s">
        <v>690</v>
      </c>
      <c r="H203" t="s">
        <v>823</v>
      </c>
      <c r="I203">
        <v>12</v>
      </c>
      <c r="J203" s="1" t="s">
        <v>995</v>
      </c>
      <c r="L203" t="str">
        <f>IF($B203="","",IFERROR(_xlfn.XLOOKUP(_xlfn.TEXTJOIN(" ",TRUE,_xlfn._xlws.SORT(_xlfn.TEXTSPLIT(TRIM(UPPER($B203))," ",,TRUE),1,1,TRUE)),puestos!$C$2:$C$324,puestos!$B$2:$B$324),"SIN PUESTO"))</f>
        <v>AYUDANTE GENERAL B</v>
      </c>
    </row>
    <row r="204" spans="1:12" x14ac:dyDescent="0.35">
      <c r="A204">
        <v>20117</v>
      </c>
      <c r="B204" t="s">
        <v>319</v>
      </c>
      <c r="D204" t="s">
        <v>640</v>
      </c>
      <c r="E204" t="s">
        <v>299</v>
      </c>
      <c r="F204" t="s">
        <v>660</v>
      </c>
      <c r="G204" t="s">
        <v>690</v>
      </c>
      <c r="H204" t="s">
        <v>823</v>
      </c>
      <c r="I204">
        <v>12</v>
      </c>
      <c r="J204" s="1" t="s">
        <v>996</v>
      </c>
      <c r="L204" t="str">
        <f>IF($B204="","",IFERROR(_xlfn.XLOOKUP(_xlfn.TEXTJOIN(" ",TRUE,_xlfn._xlws.SORT(_xlfn.TEXTSPLIT(TRIM(UPPER($B204))," ",,TRUE),1,1,TRUE)),puestos!$C$2:$C$324,puestos!$B$2:$B$324),"SIN PUESTO"))</f>
        <v>AYUDANTE GENERAL A</v>
      </c>
    </row>
    <row r="205" spans="1:12" x14ac:dyDescent="0.35">
      <c r="A205">
        <v>20118</v>
      </c>
      <c r="B205" t="s">
        <v>320</v>
      </c>
      <c r="D205" t="s">
        <v>641</v>
      </c>
      <c r="E205" t="s">
        <v>213</v>
      </c>
      <c r="F205" t="s">
        <v>660</v>
      </c>
      <c r="G205" t="s">
        <v>690</v>
      </c>
      <c r="H205" t="s">
        <v>823</v>
      </c>
      <c r="I205">
        <v>12</v>
      </c>
      <c r="J205" s="1" t="s">
        <v>997</v>
      </c>
      <c r="L205" t="str">
        <f>IF($B205="","",IFERROR(_xlfn.XLOOKUP(_xlfn.TEXTJOIN(" ",TRUE,_xlfn._xlws.SORT(_xlfn.TEXTSPLIT(TRIM(UPPER($B205))," ",,TRUE),1,1,TRUE)),puestos!$C$2:$C$324,puestos!$B$2:$B$324),"SIN PUESTO"))</f>
        <v>AYUDANTE GENERAL B</v>
      </c>
    </row>
    <row r="206" spans="1:12" x14ac:dyDescent="0.35">
      <c r="A206">
        <v>20120</v>
      </c>
      <c r="B206" t="s">
        <v>321</v>
      </c>
      <c r="D206" t="s">
        <v>642</v>
      </c>
      <c r="E206" t="s">
        <v>219</v>
      </c>
      <c r="F206" t="s">
        <v>658</v>
      </c>
      <c r="G206" t="s">
        <v>691</v>
      </c>
      <c r="H206" t="s">
        <v>823</v>
      </c>
      <c r="I206">
        <v>51</v>
      </c>
      <c r="J206" s="1" t="s">
        <v>998</v>
      </c>
      <c r="L206" t="str">
        <f>IF($B206="","",IFERROR(_xlfn.XLOOKUP(_xlfn.TEXTJOIN(" ",TRUE,_xlfn._xlws.SORT(_xlfn.TEXTSPLIT(TRIM(UPPER($B206))," ",,TRUE),1,1,TRUE)),puestos!$C$2:$C$324,puestos!$B$2:$B$324),"SIN PUESTO"))</f>
        <v>AUXILIAR DE BODEGA</v>
      </c>
    </row>
    <row r="207" spans="1:12" x14ac:dyDescent="0.35">
      <c r="A207">
        <v>20121</v>
      </c>
      <c r="B207" t="s">
        <v>322</v>
      </c>
      <c r="D207" t="s">
        <v>643</v>
      </c>
      <c r="E207" t="s">
        <v>213</v>
      </c>
      <c r="F207" t="s">
        <v>660</v>
      </c>
      <c r="G207" t="s">
        <v>690</v>
      </c>
      <c r="H207" t="s">
        <v>823</v>
      </c>
      <c r="I207">
        <v>12</v>
      </c>
      <c r="J207" s="1" t="s">
        <v>999</v>
      </c>
      <c r="L207" t="str">
        <f>IF($B207="","",IFERROR(_xlfn.XLOOKUP(_xlfn.TEXTJOIN(" ",TRUE,_xlfn._xlws.SORT(_xlfn.TEXTSPLIT(TRIM(UPPER($B207))," ",,TRUE),1,1,TRUE)),puestos!$C$2:$C$324,puestos!$B$2:$B$324),"SIN PUESTO"))</f>
        <v>AYUDANTE GENERAL A</v>
      </c>
    </row>
    <row r="208" spans="1:12" x14ac:dyDescent="0.35">
      <c r="A208">
        <v>20122</v>
      </c>
      <c r="B208" t="s">
        <v>323</v>
      </c>
      <c r="D208" t="s">
        <v>644</v>
      </c>
      <c r="E208" t="s">
        <v>306</v>
      </c>
      <c r="F208" t="s">
        <v>660</v>
      </c>
      <c r="G208" t="s">
        <v>690</v>
      </c>
      <c r="H208" t="s">
        <v>823</v>
      </c>
      <c r="I208">
        <v>12</v>
      </c>
      <c r="J208" s="1" t="s">
        <v>1000</v>
      </c>
      <c r="L208" t="str">
        <f>IF($B208="","",IFERROR(_xlfn.XLOOKUP(_xlfn.TEXTJOIN(" ",TRUE,_xlfn._xlws.SORT(_xlfn.TEXTSPLIT(TRIM(UPPER($B208))," ",,TRUE),1,1,TRUE)),puestos!$C$2:$C$324,puestos!$B$2:$B$324),"SIN PUESTO"))</f>
        <v>AYUDANTE GENERAL B</v>
      </c>
    </row>
    <row r="209" spans="1:12" x14ac:dyDescent="0.35">
      <c r="A209">
        <v>20123</v>
      </c>
      <c r="B209" t="s">
        <v>324</v>
      </c>
      <c r="D209" t="s">
        <v>645</v>
      </c>
      <c r="E209" t="s">
        <v>213</v>
      </c>
      <c r="F209" t="s">
        <v>660</v>
      </c>
      <c r="G209" t="s">
        <v>690</v>
      </c>
      <c r="H209" t="s">
        <v>823</v>
      </c>
      <c r="I209">
        <v>12</v>
      </c>
      <c r="J209" s="1" t="s">
        <v>1001</v>
      </c>
      <c r="L209" t="str">
        <f>IF($B209="","",IFERROR(_xlfn.XLOOKUP(_xlfn.TEXTJOIN(" ",TRUE,_xlfn._xlws.SORT(_xlfn.TEXTSPLIT(TRIM(UPPER($B209))," ",,TRUE),1,1,TRUE)),puestos!$C$2:$C$324,puestos!$B$2:$B$324),"SIN PUESTO"))</f>
        <v>AYUDANTE GENERAL B</v>
      </c>
    </row>
    <row r="210" spans="1:12" x14ac:dyDescent="0.35">
      <c r="A210">
        <v>20124</v>
      </c>
      <c r="B210" t="s">
        <v>325</v>
      </c>
      <c r="D210" t="s">
        <v>646</v>
      </c>
      <c r="E210" t="s">
        <v>306</v>
      </c>
      <c r="F210" t="s">
        <v>660</v>
      </c>
      <c r="G210" t="s">
        <v>690</v>
      </c>
      <c r="H210" t="s">
        <v>823</v>
      </c>
      <c r="I210">
        <v>49</v>
      </c>
      <c r="J210" s="1" t="s">
        <v>1001</v>
      </c>
      <c r="L210" t="str">
        <f>IF($B210="","",IFERROR(_xlfn.XLOOKUP(_xlfn.TEXTJOIN(" ",TRUE,_xlfn._xlws.SORT(_xlfn.TEXTSPLIT(TRIM(UPPER($B210))," ",,TRUE),1,1,TRUE)),puestos!$C$2:$C$324,puestos!$B$2:$B$324),"SIN PUESTO"))</f>
        <v>AYUDANTE GENERAL B</v>
      </c>
    </row>
    <row r="211" spans="1:12" x14ac:dyDescent="0.35">
      <c r="A211">
        <v>20125</v>
      </c>
      <c r="B211" t="s">
        <v>326</v>
      </c>
      <c r="D211" t="s">
        <v>647</v>
      </c>
      <c r="E211" t="s">
        <v>219</v>
      </c>
      <c r="F211" t="s">
        <v>658</v>
      </c>
      <c r="G211" t="s">
        <v>691</v>
      </c>
      <c r="H211" t="s">
        <v>823</v>
      </c>
      <c r="I211">
        <v>52</v>
      </c>
      <c r="J211" s="1" t="s">
        <v>1002</v>
      </c>
      <c r="L211" t="str">
        <f>IF($B211="","",IFERROR(_xlfn.XLOOKUP(_xlfn.TEXTJOIN(" ",TRUE,_xlfn._xlws.SORT(_xlfn.TEXTSPLIT(TRIM(UPPER($B211))," ",,TRUE),1,1,TRUE)),puestos!$C$2:$C$324,puestos!$B$2:$B$324),"SIN PUESTO"))</f>
        <v>AUXILIAR DE BODEGA</v>
      </c>
    </row>
    <row r="212" spans="1:12" x14ac:dyDescent="0.35">
      <c r="A212">
        <v>20126</v>
      </c>
      <c r="B212" t="s">
        <v>327</v>
      </c>
      <c r="D212" t="s">
        <v>648</v>
      </c>
      <c r="E212" t="s">
        <v>263</v>
      </c>
      <c r="F212" t="s">
        <v>660</v>
      </c>
      <c r="G212" t="s">
        <v>688</v>
      </c>
      <c r="H212" t="s">
        <v>823</v>
      </c>
      <c r="I212">
        <v>65</v>
      </c>
      <c r="J212" s="1" t="s">
        <v>1002</v>
      </c>
      <c r="L212" t="str">
        <f>IF($B212="","",IFERROR(_xlfn.XLOOKUP(_xlfn.TEXTJOIN(" ",TRUE,_xlfn._xlws.SORT(_xlfn.TEXTSPLIT(TRIM(UPPER($B212))," ",,TRUE),1,1,TRUE)),puestos!$C$2:$C$324,puestos!$B$2:$B$324),"SIN PUESTO"))</f>
        <v>AYUDANTE GENERAL B</v>
      </c>
    </row>
    <row r="213" spans="1:12" x14ac:dyDescent="0.35">
      <c r="A213">
        <v>20130</v>
      </c>
      <c r="B213" t="s">
        <v>328</v>
      </c>
      <c r="D213" t="s">
        <v>649</v>
      </c>
      <c r="E213" t="s">
        <v>125</v>
      </c>
      <c r="F213" t="s">
        <v>658</v>
      </c>
      <c r="G213" t="s">
        <v>671</v>
      </c>
      <c r="H213" t="s">
        <v>823</v>
      </c>
      <c r="I213">
        <v>122</v>
      </c>
      <c r="J213" s="1" t="s">
        <v>1003</v>
      </c>
      <c r="L213" t="str">
        <f>IF($B213="","",IFERROR(_xlfn.XLOOKUP(_xlfn.TEXTJOIN(" ",TRUE,_xlfn._xlws.SORT(_xlfn.TEXTSPLIT(TRIM(UPPER($B213))," ",,TRUE),1,1,TRUE)),puestos!$C$2:$C$324,puestos!$B$2:$B$324),"SIN PUESTO"))</f>
        <v>CHOFER</v>
      </c>
    </row>
    <row r="214" spans="1:12" x14ac:dyDescent="0.35">
      <c r="A214">
        <v>20132</v>
      </c>
      <c r="B214" t="s">
        <v>329</v>
      </c>
      <c r="D214" t="s">
        <v>650</v>
      </c>
      <c r="E214" t="s">
        <v>125</v>
      </c>
      <c r="F214" t="s">
        <v>658</v>
      </c>
      <c r="G214" t="s">
        <v>683</v>
      </c>
      <c r="H214" t="s">
        <v>823</v>
      </c>
      <c r="I214">
        <v>22</v>
      </c>
      <c r="J214" s="1" t="s">
        <v>1004</v>
      </c>
      <c r="L214" t="str">
        <f>IF($B214="","",IFERROR(_xlfn.XLOOKUP(_xlfn.TEXTJOIN(" ",TRUE,_xlfn._xlws.SORT(_xlfn.TEXTSPLIT(TRIM(UPPER($B214))," ",,TRUE),1,1,TRUE)),puestos!$C$2:$C$324,puestos!$B$2:$B$324),"SIN PUESTO"))</f>
        <v>AUXILIAR DE LIMPIEZA</v>
      </c>
    </row>
    <row r="215" spans="1:12" x14ac:dyDescent="0.35">
      <c r="A215">
        <v>20134</v>
      </c>
      <c r="B215" t="s">
        <v>330</v>
      </c>
      <c r="D215" t="s">
        <v>651</v>
      </c>
      <c r="E215" t="s">
        <v>226</v>
      </c>
      <c r="F215" t="s">
        <v>658</v>
      </c>
      <c r="G215" t="s">
        <v>691</v>
      </c>
      <c r="H215" t="s">
        <v>823</v>
      </c>
      <c r="I215">
        <v>46</v>
      </c>
      <c r="J215" s="1" t="s">
        <v>1005</v>
      </c>
      <c r="L215" t="str">
        <f>IF($B215="","",IFERROR(_xlfn.XLOOKUP(_xlfn.TEXTJOIN(" ",TRUE,_xlfn._xlws.SORT(_xlfn.TEXTSPLIT(TRIM(UPPER($B215))," ",,TRUE),1,1,TRUE)),puestos!$C$2:$C$324,puestos!$B$2:$B$324),"SIN PUESTO"))</f>
        <v>AUXILIAR DE BODEGA</v>
      </c>
    </row>
    <row r="216" spans="1:12" x14ac:dyDescent="0.35">
      <c r="A216">
        <v>20135</v>
      </c>
      <c r="B216" t="s">
        <v>331</v>
      </c>
      <c r="D216" t="s">
        <v>652</v>
      </c>
      <c r="E216" t="s">
        <v>252</v>
      </c>
      <c r="F216" t="s">
        <v>660</v>
      </c>
      <c r="G216" t="s">
        <v>681</v>
      </c>
      <c r="H216" t="s">
        <v>823</v>
      </c>
      <c r="I216">
        <v>57</v>
      </c>
      <c r="J216" s="1" t="s">
        <v>1005</v>
      </c>
      <c r="L216" t="str">
        <f>IF($B216="","",IFERROR(_xlfn.XLOOKUP(_xlfn.TEXTJOIN(" ",TRUE,_xlfn._xlws.SORT(_xlfn.TEXTSPLIT(TRIM(UPPER($B216))," ",,TRUE),1,1,TRUE)),puestos!$C$2:$C$324,puestos!$B$2:$B$324),"SIN PUESTO"))</f>
        <v>ANALISTA SSO</v>
      </c>
    </row>
    <row r="217" spans="1:12" x14ac:dyDescent="0.35">
      <c r="A217">
        <v>10001561</v>
      </c>
      <c r="B217" t="s">
        <v>13</v>
      </c>
      <c r="D217" t="s">
        <v>334</v>
      </c>
      <c r="E217" t="s">
        <v>94</v>
      </c>
      <c r="F217" t="s">
        <v>656</v>
      </c>
      <c r="G217" t="s">
        <v>666</v>
      </c>
      <c r="H217" t="s">
        <v>823</v>
      </c>
      <c r="I217">
        <v>59</v>
      </c>
      <c r="J217" s="1">
        <v>36213</v>
      </c>
      <c r="K217" t="s">
        <v>11</v>
      </c>
      <c r="L217" t="str">
        <f>IF($B217="","",IFERROR(_xlfn.XLOOKUP(_xlfn.TEXTJOIN(" ",TRUE,_xlfn._xlws.SORT(_xlfn.TEXTSPLIT(TRIM(UPPER($B217))," ",,TRUE),1,1,TRUE)),puestos!$C$2:$C$324,puestos!$B$2:$B$324),"SIN PUESTO"))</f>
        <v>PROMOTOR DE VENTAS</v>
      </c>
    </row>
    <row r="218" spans="1:12" x14ac:dyDescent="0.35">
      <c r="A218">
        <v>10001563</v>
      </c>
      <c r="B218" t="s">
        <v>14</v>
      </c>
      <c r="C218" t="s">
        <v>692</v>
      </c>
      <c r="D218" t="s">
        <v>335</v>
      </c>
      <c r="E218" t="s">
        <v>53</v>
      </c>
      <c r="F218" t="s">
        <v>657</v>
      </c>
      <c r="G218" t="s">
        <v>657</v>
      </c>
      <c r="H218" t="s">
        <v>12</v>
      </c>
      <c r="I218">
        <v>48</v>
      </c>
      <c r="J218" s="1">
        <v>38892</v>
      </c>
      <c r="L218" t="str">
        <f>IF($B218="","",IFERROR(_xlfn.XLOOKUP(_xlfn.TEXTJOIN(" ",TRUE,_xlfn._xlws.SORT(_xlfn.TEXTSPLIT(TRIM(UPPER($B218))," ",,TRUE),1,1,TRUE)),puestos!$C$2:$C$324,puestos!$B$2:$B$324),"SIN PUESTO"))</f>
        <v>ANALISTA DE PLANEACIÓN FINANCIERA</v>
      </c>
    </row>
    <row r="219" spans="1:12" x14ac:dyDescent="0.35">
      <c r="A219">
        <v>10001577</v>
      </c>
      <c r="B219" t="s">
        <v>15</v>
      </c>
      <c r="C219" t="s">
        <v>693</v>
      </c>
      <c r="D219" t="s">
        <v>336</v>
      </c>
      <c r="E219" t="s">
        <v>174</v>
      </c>
      <c r="F219" t="s">
        <v>658</v>
      </c>
      <c r="G219" t="s">
        <v>667</v>
      </c>
      <c r="H219" t="s">
        <v>12</v>
      </c>
      <c r="I219">
        <v>55</v>
      </c>
      <c r="J219" s="1">
        <v>40609</v>
      </c>
      <c r="L219" t="str">
        <f>IF($B219="","",IFERROR(_xlfn.XLOOKUP(_xlfn.TEXTJOIN(" ",TRUE,_xlfn._xlws.SORT(_xlfn.TEXTSPLIT(TRIM(UPPER($B219))," ",,TRUE),1,1,TRUE)),puestos!$C$2:$C$324,puestos!$B$2:$B$324),"SIN PUESTO"))</f>
        <v>COORDINADOR DE ABASTECIMIENTO</v>
      </c>
    </row>
    <row r="220" spans="1:12" x14ac:dyDescent="0.35">
      <c r="A220">
        <v>10001587</v>
      </c>
      <c r="B220" t="s">
        <v>16</v>
      </c>
      <c r="C220" t="s">
        <v>694</v>
      </c>
      <c r="D220" t="s">
        <v>337</v>
      </c>
      <c r="E220" t="s">
        <v>104</v>
      </c>
      <c r="F220" t="s">
        <v>658</v>
      </c>
      <c r="G220" t="s">
        <v>668</v>
      </c>
      <c r="H220" t="s">
        <v>12</v>
      </c>
      <c r="I220">
        <v>18</v>
      </c>
      <c r="J220" s="1">
        <v>32698</v>
      </c>
      <c r="L220" t="str">
        <f>IF($B220="","",IFERROR(_xlfn.XLOOKUP(_xlfn.TEXTJOIN(" ",TRUE,_xlfn._xlws.SORT(_xlfn.TEXTSPLIT(TRIM(UPPER($B220))," ",,TRUE),1,1,TRUE)),puestos!$C$2:$C$324,puestos!$B$2:$B$324),"SIN PUESTO"))</f>
        <v>JEFE DE LOGISTICA PRIMARIA</v>
      </c>
    </row>
    <row r="221" spans="1:12" x14ac:dyDescent="0.35">
      <c r="A221">
        <v>10001618</v>
      </c>
      <c r="B221" t="s">
        <v>17</v>
      </c>
      <c r="C221" t="s">
        <v>695</v>
      </c>
      <c r="D221" t="s">
        <v>338</v>
      </c>
      <c r="E221" t="s">
        <v>186</v>
      </c>
      <c r="F221" t="s">
        <v>656</v>
      </c>
      <c r="G221" t="s">
        <v>669</v>
      </c>
      <c r="H221" t="s">
        <v>12</v>
      </c>
      <c r="I221">
        <v>27</v>
      </c>
      <c r="J221" s="1">
        <v>42675</v>
      </c>
      <c r="L221" t="str">
        <f>IF($B221="","",IFERROR(_xlfn.XLOOKUP(_xlfn.TEXTJOIN(" ",TRUE,_xlfn._xlws.SORT(_xlfn.TEXTSPLIT(TRIM(UPPER($B221))," ",,TRUE),1,1,TRUE)),puestos!$C$2:$C$324,puestos!$B$2:$B$324),"SIN PUESTO"))</f>
        <v>TECNICO EN MANTTO</v>
      </c>
    </row>
    <row r="222" spans="1:12" x14ac:dyDescent="0.35">
      <c r="A222">
        <v>10001621</v>
      </c>
      <c r="B222" t="s">
        <v>18</v>
      </c>
      <c r="C222" t="s">
        <v>696</v>
      </c>
      <c r="D222" t="s">
        <v>339</v>
      </c>
      <c r="E222" t="s">
        <v>21</v>
      </c>
      <c r="F222" t="s">
        <v>657</v>
      </c>
      <c r="G222" t="s">
        <v>670</v>
      </c>
      <c r="H222" t="s">
        <v>12</v>
      </c>
      <c r="I222">
        <v>68</v>
      </c>
      <c r="J222" s="1">
        <v>42172</v>
      </c>
      <c r="L222" t="str">
        <f>IF($B222="","",IFERROR(_xlfn.XLOOKUP(_xlfn.TEXTJOIN(" ",TRUE,_xlfn._xlws.SORT(_xlfn.TEXTSPLIT(TRIM(UPPER($B222))," ",,TRUE),1,1,TRUE)),puestos!$C$2:$C$324,puestos!$B$2:$B$324),"SIN PUESTO"))</f>
        <v>ANALISTA DE CUENTAS POR PAGAR</v>
      </c>
    </row>
    <row r="223" spans="1:12" x14ac:dyDescent="0.35">
      <c r="A223">
        <v>10001624</v>
      </c>
      <c r="B223" t="s">
        <v>19</v>
      </c>
      <c r="D223" t="s">
        <v>340</v>
      </c>
      <c r="E223" t="s">
        <v>94</v>
      </c>
      <c r="F223" t="s">
        <v>656</v>
      </c>
      <c r="G223" t="s">
        <v>666</v>
      </c>
      <c r="H223" t="s">
        <v>823</v>
      </c>
      <c r="I223">
        <v>51</v>
      </c>
      <c r="J223" s="1">
        <v>42172</v>
      </c>
      <c r="L223" t="str">
        <f>IF($B223="","",IFERROR(_xlfn.XLOOKUP(_xlfn.TEXTJOIN(" ",TRUE,_xlfn._xlws.SORT(_xlfn.TEXTSPLIT(TRIM(UPPER($B223))," ",,TRUE),1,1,TRUE)),puestos!$C$2:$C$324,puestos!$B$2:$B$324),"SIN PUESTO"))</f>
        <v>PROMOTOR DE VENTAS</v>
      </c>
    </row>
    <row r="224" spans="1:12" x14ac:dyDescent="0.35">
      <c r="A224">
        <v>10001632</v>
      </c>
      <c r="B224" t="s">
        <v>20</v>
      </c>
      <c r="C224" t="s">
        <v>697</v>
      </c>
      <c r="D224" t="s">
        <v>341</v>
      </c>
      <c r="E224" t="s">
        <v>88</v>
      </c>
      <c r="F224" t="s">
        <v>658</v>
      </c>
      <c r="G224" t="s">
        <v>667</v>
      </c>
      <c r="H224" t="s">
        <v>12</v>
      </c>
      <c r="I224">
        <v>29</v>
      </c>
      <c r="J224" s="1">
        <v>42815</v>
      </c>
      <c r="L224" t="str">
        <f>IF($B224="","",IFERROR(_xlfn.XLOOKUP(_xlfn.TEXTJOIN(" ",TRUE,_xlfn._xlws.SORT(_xlfn.TEXTSPLIT(TRIM(UPPER($B224))," ",,TRUE),1,1,TRUE)),puestos!$C$2:$C$324,puestos!$B$2:$B$324),"SIN PUESTO"))</f>
        <v>COORDINADOR SAC</v>
      </c>
    </row>
    <row r="225" spans="1:12" x14ac:dyDescent="0.35">
      <c r="A225">
        <v>10001635</v>
      </c>
      <c r="B225" t="s">
        <v>21</v>
      </c>
      <c r="C225" t="s">
        <v>698</v>
      </c>
      <c r="D225" t="s">
        <v>342</v>
      </c>
      <c r="E225" t="s">
        <v>192</v>
      </c>
      <c r="F225" t="s">
        <v>657</v>
      </c>
      <c r="G225" t="s">
        <v>670</v>
      </c>
      <c r="H225" t="s">
        <v>12</v>
      </c>
      <c r="I225">
        <v>24</v>
      </c>
      <c r="J225" s="1">
        <v>41264</v>
      </c>
      <c r="L225" t="str">
        <f>IF($B225="","",IFERROR(_xlfn.XLOOKUP(_xlfn.TEXTJOIN(" ",TRUE,_xlfn._xlws.SORT(_xlfn.TEXTSPLIT(TRIM(UPPER($B225))," ",,TRUE),1,1,TRUE)),puestos!$C$2:$C$324,puestos!$B$2:$B$324),"SIN PUESTO"))</f>
        <v>JEFE DE CUENTAS POR COBRAR</v>
      </c>
    </row>
    <row r="226" spans="1:12" x14ac:dyDescent="0.35">
      <c r="A226">
        <v>10001647</v>
      </c>
      <c r="B226" t="s">
        <v>22</v>
      </c>
      <c r="D226" t="s">
        <v>343</v>
      </c>
      <c r="E226" t="s">
        <v>94</v>
      </c>
      <c r="F226" t="s">
        <v>656</v>
      </c>
      <c r="G226" t="s">
        <v>666</v>
      </c>
      <c r="H226" t="s">
        <v>823</v>
      </c>
      <c r="I226">
        <v>31</v>
      </c>
      <c r="J226" s="1">
        <v>36437</v>
      </c>
      <c r="L226" t="str">
        <f>IF($B226="","",IFERROR(_xlfn.XLOOKUP(_xlfn.TEXTJOIN(" ",TRUE,_xlfn._xlws.SORT(_xlfn.TEXTSPLIT(TRIM(UPPER($B226))," ",,TRUE),1,1,TRUE)),puestos!$C$2:$C$324,puestos!$B$2:$B$324),"SIN PUESTO"))</f>
        <v>PROMOTOR DE VENTAS</v>
      </c>
    </row>
    <row r="227" spans="1:12" x14ac:dyDescent="0.35">
      <c r="A227">
        <v>10001656</v>
      </c>
      <c r="B227" t="s">
        <v>23</v>
      </c>
      <c r="D227" t="s">
        <v>344</v>
      </c>
      <c r="E227" t="s">
        <v>99</v>
      </c>
      <c r="F227" t="s">
        <v>656</v>
      </c>
      <c r="G227" t="s">
        <v>666</v>
      </c>
      <c r="H227" t="s">
        <v>823</v>
      </c>
      <c r="I227">
        <v>30</v>
      </c>
      <c r="J227" s="1">
        <v>42857</v>
      </c>
      <c r="L227" t="str">
        <f>IF($B227="","",IFERROR(_xlfn.XLOOKUP(_xlfn.TEXTJOIN(" ",TRUE,_xlfn._xlws.SORT(_xlfn.TEXTSPLIT(TRIM(UPPER($B227))," ",,TRUE),1,1,TRUE)),puestos!$C$2:$C$324,puestos!$B$2:$B$324),"SIN PUESTO"))</f>
        <v>PROMOTOR DE VENTAS</v>
      </c>
    </row>
    <row r="228" spans="1:12" x14ac:dyDescent="0.35">
      <c r="A228">
        <v>10001659</v>
      </c>
      <c r="B228" t="s">
        <v>24</v>
      </c>
      <c r="D228" t="s">
        <v>345</v>
      </c>
      <c r="E228" t="s">
        <v>49</v>
      </c>
      <c r="F228" t="s">
        <v>656</v>
      </c>
      <c r="G228" t="s">
        <v>666</v>
      </c>
      <c r="H228" t="s">
        <v>823</v>
      </c>
      <c r="I228">
        <v>24</v>
      </c>
      <c r="J228" s="1">
        <v>43540</v>
      </c>
      <c r="L228" t="str">
        <f>IF($B228="","",IFERROR(_xlfn.XLOOKUP(_xlfn.TEXTJOIN(" ",TRUE,_xlfn._xlws.SORT(_xlfn.TEXTSPLIT(TRIM(UPPER($B228))," ",,TRUE),1,1,TRUE)),puestos!$C$2:$C$324,puestos!$B$2:$B$324),"SIN PUESTO"))</f>
        <v>PROMOTOR DE VENTAS</v>
      </c>
    </row>
    <row r="229" spans="1:12" x14ac:dyDescent="0.35">
      <c r="A229">
        <v>10001663</v>
      </c>
      <c r="B229" t="s">
        <v>25</v>
      </c>
      <c r="C229" t="s">
        <v>699</v>
      </c>
      <c r="D229" t="s">
        <v>346</v>
      </c>
      <c r="E229" t="s">
        <v>186</v>
      </c>
      <c r="F229" t="s">
        <v>656</v>
      </c>
      <c r="G229" t="s">
        <v>669</v>
      </c>
      <c r="H229" t="s">
        <v>12</v>
      </c>
      <c r="I229">
        <v>37</v>
      </c>
      <c r="J229" s="1">
        <v>36479</v>
      </c>
      <c r="L229" t="str">
        <f>IF($B229="","",IFERROR(_xlfn.XLOOKUP(_xlfn.TEXTJOIN(" ",TRUE,_xlfn._xlws.SORT(_xlfn.TEXTSPLIT(TRIM(UPPER($B229))," ",,TRUE),1,1,TRUE)),puestos!$C$2:$C$324,puestos!$B$2:$B$324),"SIN PUESTO"))</f>
        <v>ASESOR COMERCIAL FS</v>
      </c>
    </row>
    <row r="230" spans="1:12" x14ac:dyDescent="0.35">
      <c r="A230">
        <v>10001665</v>
      </c>
      <c r="B230" t="s">
        <v>26</v>
      </c>
      <c r="C230" t="s">
        <v>700</v>
      </c>
      <c r="D230" t="s">
        <v>347</v>
      </c>
      <c r="E230" t="s">
        <v>104</v>
      </c>
      <c r="F230" t="s">
        <v>658</v>
      </c>
      <c r="G230" t="s">
        <v>668</v>
      </c>
      <c r="H230" t="s">
        <v>12</v>
      </c>
      <c r="I230">
        <v>36</v>
      </c>
      <c r="J230" s="1">
        <v>42668</v>
      </c>
      <c r="L230" t="str">
        <f>IF($B230="","",IFERROR(_xlfn.XLOOKUP(_xlfn.TEXTJOIN(" ",TRUE,_xlfn._xlws.SORT(_xlfn.TEXTSPLIT(TRIM(UPPER($B230))," ",,TRUE),1,1,TRUE)),puestos!$C$2:$C$324,puestos!$B$2:$B$324),"SIN PUESTO"))</f>
        <v>COORDINADOR DE ABASTECIMIENTO</v>
      </c>
    </row>
    <row r="231" spans="1:12" x14ac:dyDescent="0.35">
      <c r="A231">
        <v>10001684</v>
      </c>
      <c r="B231" t="s">
        <v>27</v>
      </c>
      <c r="D231" t="s">
        <v>348</v>
      </c>
      <c r="E231" t="s">
        <v>49</v>
      </c>
      <c r="F231" t="s">
        <v>656</v>
      </c>
      <c r="G231" t="s">
        <v>666</v>
      </c>
      <c r="H231" t="s">
        <v>823</v>
      </c>
      <c r="I231">
        <v>22</v>
      </c>
      <c r="J231" s="1">
        <v>43360</v>
      </c>
      <c r="L231" t="str">
        <f>IF($B231="","",IFERROR(_xlfn.XLOOKUP(_xlfn.TEXTJOIN(" ",TRUE,_xlfn._xlws.SORT(_xlfn.TEXTSPLIT(TRIM(UPPER($B231))," ",,TRUE),1,1,TRUE)),puestos!$C$2:$C$324,puestos!$B$2:$B$324),"SIN PUESTO"))</f>
        <v>PROMOTOR DE VENTAS</v>
      </c>
    </row>
    <row r="232" spans="1:12" x14ac:dyDescent="0.35">
      <c r="A232">
        <v>10001688</v>
      </c>
      <c r="B232" t="s">
        <v>28</v>
      </c>
      <c r="D232" t="s">
        <v>349</v>
      </c>
      <c r="E232" t="s">
        <v>49</v>
      </c>
      <c r="F232" t="s">
        <v>656</v>
      </c>
      <c r="G232" t="s">
        <v>666</v>
      </c>
      <c r="H232" t="s">
        <v>823</v>
      </c>
      <c r="I232">
        <v>72</v>
      </c>
      <c r="J232" s="1">
        <v>41349</v>
      </c>
      <c r="L232" t="str">
        <f>IF($B232="","",IFERROR(_xlfn.XLOOKUP(_xlfn.TEXTJOIN(" ",TRUE,_xlfn._xlws.SORT(_xlfn.TEXTSPLIT(TRIM(UPPER($B232))," ",,TRUE),1,1,TRUE)),puestos!$C$2:$C$324,puestos!$B$2:$B$324),"SIN PUESTO"))</f>
        <v>PROMOTOR DE VENTAS</v>
      </c>
    </row>
    <row r="233" spans="1:12" x14ac:dyDescent="0.35">
      <c r="A233">
        <v>10001690</v>
      </c>
      <c r="B233" t="s">
        <v>29</v>
      </c>
      <c r="D233" t="s">
        <v>350</v>
      </c>
      <c r="E233" t="s">
        <v>99</v>
      </c>
      <c r="F233" t="s">
        <v>656</v>
      </c>
      <c r="G233" t="s">
        <v>666</v>
      </c>
      <c r="H233" t="s">
        <v>823</v>
      </c>
      <c r="I233">
        <v>75</v>
      </c>
      <c r="J233" s="1">
        <v>40004</v>
      </c>
      <c r="L233" t="str">
        <f>IF($B233="","",IFERROR(_xlfn.XLOOKUP(_xlfn.TEXTJOIN(" ",TRUE,_xlfn._xlws.SORT(_xlfn.TEXTSPLIT(TRIM(UPPER($B233))," ",,TRUE),1,1,TRUE)),puestos!$C$2:$C$324,puestos!$B$2:$B$324),"SIN PUESTO"))</f>
        <v>PROMOTOR DE VENTAS</v>
      </c>
    </row>
    <row r="234" spans="1:12" x14ac:dyDescent="0.35">
      <c r="A234">
        <v>10001692</v>
      </c>
      <c r="B234" t="s">
        <v>30</v>
      </c>
      <c r="D234" t="s">
        <v>351</v>
      </c>
      <c r="E234" t="s">
        <v>49</v>
      </c>
      <c r="F234" t="s">
        <v>656</v>
      </c>
      <c r="G234" t="s">
        <v>666</v>
      </c>
      <c r="H234" t="s">
        <v>823</v>
      </c>
      <c r="I234">
        <v>55</v>
      </c>
      <c r="J234" s="1">
        <v>39569</v>
      </c>
      <c r="L234" t="str">
        <f>IF($B234="","",IFERROR(_xlfn.XLOOKUP(_xlfn.TEXTJOIN(" ",TRUE,_xlfn._xlws.SORT(_xlfn.TEXTSPLIT(TRIM(UPPER($B234))," ",,TRUE),1,1,TRUE)),puestos!$C$2:$C$324,puestos!$B$2:$B$324),"SIN PUESTO"))</f>
        <v>PROMOTOR DE VENTAS</v>
      </c>
    </row>
    <row r="235" spans="1:12" x14ac:dyDescent="0.35">
      <c r="A235">
        <v>10001694</v>
      </c>
      <c r="B235" t="s">
        <v>31</v>
      </c>
      <c r="D235" t="s">
        <v>352</v>
      </c>
      <c r="E235" t="s">
        <v>99</v>
      </c>
      <c r="F235" t="s">
        <v>656</v>
      </c>
      <c r="G235" t="s">
        <v>666</v>
      </c>
      <c r="H235" t="s">
        <v>823</v>
      </c>
      <c r="I235">
        <v>27</v>
      </c>
      <c r="J235" s="1">
        <v>37677</v>
      </c>
      <c r="L235" t="str">
        <f>IF($B235="","",IFERROR(_xlfn.XLOOKUP(_xlfn.TEXTJOIN(" ",TRUE,_xlfn._xlws.SORT(_xlfn.TEXTSPLIT(TRIM(UPPER($B235))," ",,TRUE),1,1,TRUE)),puestos!$C$2:$C$324,puestos!$B$2:$B$324),"SIN PUESTO"))</f>
        <v>PROMOTOR DE VENTAS</v>
      </c>
    </row>
    <row r="236" spans="1:12" x14ac:dyDescent="0.35">
      <c r="A236">
        <v>10001698</v>
      </c>
      <c r="B236" t="s">
        <v>32</v>
      </c>
      <c r="D236" t="s">
        <v>353</v>
      </c>
      <c r="E236" t="s">
        <v>49</v>
      </c>
      <c r="F236" t="s">
        <v>656</v>
      </c>
      <c r="G236" t="s">
        <v>666</v>
      </c>
      <c r="H236" t="s">
        <v>823</v>
      </c>
      <c r="I236">
        <v>39</v>
      </c>
      <c r="J236" s="1">
        <v>38861</v>
      </c>
      <c r="L236" t="str">
        <f>IF($B236="","",IFERROR(_xlfn.XLOOKUP(_xlfn.TEXTJOIN(" ",TRUE,_xlfn._xlws.SORT(_xlfn.TEXTSPLIT(TRIM(UPPER($B236))," ",,TRUE),1,1,TRUE)),puestos!$C$2:$C$324,puestos!$B$2:$B$324),"SIN PUESTO"))</f>
        <v>PROMOTOR DE VENTAS</v>
      </c>
    </row>
    <row r="237" spans="1:12" x14ac:dyDescent="0.35">
      <c r="A237">
        <v>10001703</v>
      </c>
      <c r="B237" t="s">
        <v>33</v>
      </c>
      <c r="C237" t="s">
        <v>701</v>
      </c>
      <c r="D237" t="s">
        <v>354</v>
      </c>
      <c r="E237" t="s">
        <v>186</v>
      </c>
      <c r="F237" t="s">
        <v>656</v>
      </c>
      <c r="G237" t="s">
        <v>669</v>
      </c>
      <c r="H237" t="s">
        <v>12</v>
      </c>
      <c r="I237">
        <v>28</v>
      </c>
      <c r="J237" s="1">
        <v>39496</v>
      </c>
      <c r="L237" t="str">
        <f>IF($B237="","",IFERROR(_xlfn.XLOOKUP(_xlfn.TEXTJOIN(" ",TRUE,_xlfn._xlws.SORT(_xlfn.TEXTSPLIT(TRIM(UPPER($B237))," ",,TRUE),1,1,TRUE)),puestos!$C$2:$C$324,puestos!$B$2:$B$324),"SIN PUESTO"))</f>
        <v>TECNICO EN MANTTO</v>
      </c>
    </row>
    <row r="238" spans="1:12" x14ac:dyDescent="0.35">
      <c r="A238">
        <v>10001726</v>
      </c>
      <c r="B238" t="s">
        <v>34</v>
      </c>
      <c r="D238" t="s">
        <v>355</v>
      </c>
      <c r="E238" t="s">
        <v>97</v>
      </c>
      <c r="F238" t="s">
        <v>656</v>
      </c>
      <c r="G238" t="s">
        <v>666</v>
      </c>
      <c r="H238" t="s">
        <v>823</v>
      </c>
      <c r="I238">
        <v>23</v>
      </c>
      <c r="J238" s="1">
        <v>43271</v>
      </c>
      <c r="L238" t="str">
        <f>IF($B238="","",IFERROR(_xlfn.XLOOKUP(_xlfn.TEXTJOIN(" ",TRUE,_xlfn._xlws.SORT(_xlfn.TEXTSPLIT(TRIM(UPPER($B238))," ",,TRUE),1,1,TRUE)),puestos!$C$2:$C$324,puestos!$B$2:$B$324),"SIN PUESTO"))</f>
        <v>PROMOTOR DE VENTAS</v>
      </c>
    </row>
    <row r="239" spans="1:12" x14ac:dyDescent="0.35">
      <c r="A239">
        <v>10001758</v>
      </c>
      <c r="B239" t="s">
        <v>35</v>
      </c>
      <c r="C239" t="s">
        <v>702</v>
      </c>
      <c r="D239" t="s">
        <v>356</v>
      </c>
      <c r="E239" t="s">
        <v>36</v>
      </c>
      <c r="F239" t="s">
        <v>659</v>
      </c>
      <c r="G239" t="s">
        <v>671</v>
      </c>
      <c r="H239" t="s">
        <v>12</v>
      </c>
      <c r="I239">
        <v>32</v>
      </c>
      <c r="J239" s="1">
        <v>43941</v>
      </c>
      <c r="L239" t="str">
        <f>IF($B239="","",IFERROR(_xlfn.XLOOKUP(_xlfn.TEXTJOIN(" ",TRUE,_xlfn._xlws.SORT(_xlfn.TEXTSPLIT(TRIM(UPPER($B239))," ",,TRUE),1,1,TRUE)),puestos!$C$2:$C$324,puestos!$B$2:$B$324),"SIN PUESTO"))</f>
        <v>COORDINADOR DE NOMINA</v>
      </c>
    </row>
    <row r="240" spans="1:12" x14ac:dyDescent="0.35">
      <c r="A240">
        <v>10001761</v>
      </c>
      <c r="B240" t="s">
        <v>36</v>
      </c>
      <c r="C240" t="s">
        <v>703</v>
      </c>
      <c r="D240" t="s">
        <v>357</v>
      </c>
      <c r="E240" t="s">
        <v>333</v>
      </c>
      <c r="F240" t="s">
        <v>659</v>
      </c>
      <c r="G240" t="s">
        <v>671</v>
      </c>
      <c r="H240" t="s">
        <v>12</v>
      </c>
      <c r="I240">
        <v>27</v>
      </c>
      <c r="J240" s="1">
        <v>43927</v>
      </c>
      <c r="L240" t="str">
        <f>IF($B240="","",IFERROR(_xlfn.XLOOKUP(_xlfn.TEXTJOIN(" ",TRUE,_xlfn._xlws.SORT(_xlfn.TEXTSPLIT(TRIM(UPPER($B240))," ",,TRUE),1,1,TRUE)),puestos!$C$2:$C$324,puestos!$B$2:$B$324),"SIN PUESTO"))</f>
        <v>JEFE DE REMUNERACION &amp; OBZ</v>
      </c>
    </row>
    <row r="241" spans="1:12" x14ac:dyDescent="0.35">
      <c r="A241">
        <v>10001764</v>
      </c>
      <c r="B241" t="s">
        <v>37</v>
      </c>
      <c r="C241" t="s">
        <v>704</v>
      </c>
      <c r="D241" t="s">
        <v>358</v>
      </c>
      <c r="E241" t="s">
        <v>58</v>
      </c>
      <c r="F241" t="s">
        <v>657</v>
      </c>
      <c r="G241" t="s">
        <v>672</v>
      </c>
      <c r="H241" t="s">
        <v>12</v>
      </c>
      <c r="I241">
        <v>25</v>
      </c>
      <c r="J241" s="1">
        <v>43927</v>
      </c>
      <c r="L241" t="str">
        <f>IF($B241="","",IFERROR(_xlfn.XLOOKUP(_xlfn.TEXTJOIN(" ",TRUE,_xlfn._xlws.SORT(_xlfn.TEXTSPLIT(TRIM(UPPER($B241))," ",,TRUE),1,1,TRUE)),puestos!$C$2:$C$324,puestos!$B$2:$B$324),"SIN PUESTO"))</f>
        <v>ANALISTA DE COSTOS</v>
      </c>
    </row>
    <row r="242" spans="1:12" x14ac:dyDescent="0.35">
      <c r="A242">
        <v>10001789</v>
      </c>
      <c r="B242" t="s">
        <v>38</v>
      </c>
      <c r="C242" t="s">
        <v>705</v>
      </c>
      <c r="D242" t="s">
        <v>359</v>
      </c>
      <c r="E242" t="s">
        <v>186</v>
      </c>
      <c r="F242" t="s">
        <v>656</v>
      </c>
      <c r="G242" t="s">
        <v>669</v>
      </c>
      <c r="H242" t="s">
        <v>12</v>
      </c>
      <c r="I242">
        <v>26</v>
      </c>
      <c r="J242" s="1">
        <v>44123</v>
      </c>
      <c r="L242" t="str">
        <f>IF($B242="","",IFERROR(_xlfn.XLOOKUP(_xlfn.TEXTJOIN(" ",TRUE,_xlfn._xlws.SORT(_xlfn.TEXTSPLIT(TRIM(UPPER($B242))," ",,TRUE),1,1,TRUE)),puestos!$C$2:$C$324,puestos!$B$2:$B$324),"SIN PUESTO"))</f>
        <v>TECNICO EN MANTTO</v>
      </c>
    </row>
    <row r="243" spans="1:12" x14ac:dyDescent="0.35">
      <c r="A243">
        <v>10002013</v>
      </c>
      <c r="B243" t="s">
        <v>39</v>
      </c>
      <c r="D243" t="s">
        <v>360</v>
      </c>
      <c r="E243" t="s">
        <v>94</v>
      </c>
      <c r="F243" t="s">
        <v>656</v>
      </c>
      <c r="G243" t="s">
        <v>666</v>
      </c>
      <c r="H243" t="s">
        <v>823</v>
      </c>
      <c r="I243">
        <v>24</v>
      </c>
      <c r="J243" s="1">
        <v>44291</v>
      </c>
      <c r="L243" t="str">
        <f>IF($B243="","",IFERROR(_xlfn.XLOOKUP(_xlfn.TEXTJOIN(" ",TRUE,_xlfn._xlws.SORT(_xlfn.TEXTSPLIT(TRIM(UPPER($B243))," ",,TRUE),1,1,TRUE)),puestos!$C$2:$C$324,puestos!$B$2:$B$324),"SIN PUESTO"))</f>
        <v>PROMOTOR DE VENTAS</v>
      </c>
    </row>
    <row r="244" spans="1:12" x14ac:dyDescent="0.35">
      <c r="A244">
        <v>10002030</v>
      </c>
      <c r="B244" t="s">
        <v>40</v>
      </c>
      <c r="D244" t="s">
        <v>361</v>
      </c>
      <c r="E244" t="s">
        <v>49</v>
      </c>
      <c r="F244" t="s">
        <v>656</v>
      </c>
      <c r="G244" t="s">
        <v>666</v>
      </c>
      <c r="H244" t="s">
        <v>823</v>
      </c>
      <c r="I244">
        <v>26</v>
      </c>
      <c r="J244" s="1">
        <v>44349</v>
      </c>
      <c r="L244" t="str">
        <f>IF($B244="","",IFERROR(_xlfn.XLOOKUP(_xlfn.TEXTJOIN(" ",TRUE,_xlfn._xlws.SORT(_xlfn.TEXTSPLIT(TRIM(UPPER($B244))," ",,TRUE),1,1,TRUE)),puestos!$C$2:$C$324,puestos!$B$2:$B$324),"SIN PUESTO"))</f>
        <v>PROMOTOR DE VENTAS</v>
      </c>
    </row>
    <row r="245" spans="1:12" x14ac:dyDescent="0.35">
      <c r="A245">
        <v>10002031</v>
      </c>
      <c r="B245" t="s">
        <v>41</v>
      </c>
      <c r="D245" t="s">
        <v>362</v>
      </c>
      <c r="E245" t="s">
        <v>99</v>
      </c>
      <c r="F245" t="s">
        <v>656</v>
      </c>
      <c r="G245" t="s">
        <v>666</v>
      </c>
      <c r="H245" t="s">
        <v>823</v>
      </c>
      <c r="I245">
        <v>21</v>
      </c>
      <c r="J245" s="1">
        <v>44349</v>
      </c>
      <c r="L245" t="str">
        <f>IF($B245="","",IFERROR(_xlfn.XLOOKUP(_xlfn.TEXTJOIN(" ",TRUE,_xlfn._xlws.SORT(_xlfn.TEXTSPLIT(TRIM(UPPER($B245))," ",,TRUE),1,1,TRUE)),puestos!$C$2:$C$324,puestos!$B$2:$B$324),"SIN PUESTO"))</f>
        <v>PROMOTOR DE VENTAS</v>
      </c>
    </row>
    <row r="246" spans="1:12" x14ac:dyDescent="0.35">
      <c r="A246">
        <v>10002039</v>
      </c>
      <c r="B246" t="s">
        <v>42</v>
      </c>
      <c r="D246" t="s">
        <v>363</v>
      </c>
      <c r="E246" t="s">
        <v>115</v>
      </c>
      <c r="F246" t="s">
        <v>656</v>
      </c>
      <c r="G246" t="s">
        <v>666</v>
      </c>
      <c r="H246" t="s">
        <v>823</v>
      </c>
      <c r="I246">
        <v>30</v>
      </c>
      <c r="J246" s="1">
        <v>44378</v>
      </c>
      <c r="L246" t="str">
        <f>IF($B246="","",IFERROR(_xlfn.XLOOKUP(_xlfn.TEXTJOIN(" ",TRUE,_xlfn._xlws.SORT(_xlfn.TEXTSPLIT(TRIM(UPPER($B246))," ",,TRUE),1,1,TRUE)),puestos!$C$2:$C$324,puestos!$B$2:$B$324),"SIN PUESTO"))</f>
        <v>PROMOTOR DE VENTAS</v>
      </c>
    </row>
    <row r="247" spans="1:12" x14ac:dyDescent="0.35">
      <c r="A247">
        <v>10002040</v>
      </c>
      <c r="B247" t="s">
        <v>43</v>
      </c>
      <c r="D247" t="s">
        <v>364</v>
      </c>
      <c r="E247" t="s">
        <v>115</v>
      </c>
      <c r="F247" t="s">
        <v>656</v>
      </c>
      <c r="G247" t="s">
        <v>666</v>
      </c>
      <c r="H247" t="s">
        <v>823</v>
      </c>
      <c r="I247">
        <v>52</v>
      </c>
      <c r="J247" s="1">
        <v>44378</v>
      </c>
      <c r="L247" t="str">
        <f>IF($B247="","",IFERROR(_xlfn.XLOOKUP(_xlfn.TEXTJOIN(" ",TRUE,_xlfn._xlws.SORT(_xlfn.TEXTSPLIT(TRIM(UPPER($B247))," ",,TRUE),1,1,TRUE)),puestos!$C$2:$C$324,puestos!$B$2:$B$324),"SIN PUESTO"))</f>
        <v>PROMOTOR DE VENTAS</v>
      </c>
    </row>
    <row r="248" spans="1:12" x14ac:dyDescent="0.35">
      <c r="A248">
        <v>10002069</v>
      </c>
      <c r="B248" t="s">
        <v>44</v>
      </c>
      <c r="D248" t="s">
        <v>365</v>
      </c>
      <c r="E248" t="s">
        <v>115</v>
      </c>
      <c r="F248" t="s">
        <v>656</v>
      </c>
      <c r="G248" t="s">
        <v>666</v>
      </c>
      <c r="H248" t="s">
        <v>823</v>
      </c>
      <c r="I248">
        <v>34</v>
      </c>
      <c r="J248" s="1">
        <v>44410</v>
      </c>
      <c r="L248" t="str">
        <f>IF($B248="","",IFERROR(_xlfn.XLOOKUP(_xlfn.TEXTJOIN(" ",TRUE,_xlfn._xlws.SORT(_xlfn.TEXTSPLIT(TRIM(UPPER($B248))," ",,TRUE),1,1,TRUE)),puestos!$C$2:$C$324,puestos!$B$2:$B$324),"SIN PUESTO"))</f>
        <v>PROMOTOR DE VENTAS</v>
      </c>
    </row>
    <row r="249" spans="1:12" x14ac:dyDescent="0.35">
      <c r="A249">
        <v>10002099</v>
      </c>
      <c r="B249" t="s">
        <v>45</v>
      </c>
      <c r="D249" t="s">
        <v>366</v>
      </c>
      <c r="E249" t="s">
        <v>49</v>
      </c>
      <c r="F249" t="s">
        <v>656</v>
      </c>
      <c r="G249" t="s">
        <v>666</v>
      </c>
      <c r="H249" t="s">
        <v>823</v>
      </c>
      <c r="I249">
        <v>29</v>
      </c>
      <c r="J249" s="1">
        <v>44417</v>
      </c>
      <c r="L249" t="str">
        <f>IF($B249="","",IFERROR(_xlfn.XLOOKUP(_xlfn.TEXTJOIN(" ",TRUE,_xlfn._xlws.SORT(_xlfn.TEXTSPLIT(TRIM(UPPER($B249))," ",,TRUE),1,1,TRUE)),puestos!$C$2:$C$324,puestos!$B$2:$B$324),"SIN PUESTO"))</f>
        <v>PROMOTOR DE VENTAS</v>
      </c>
    </row>
    <row r="250" spans="1:12" x14ac:dyDescent="0.35">
      <c r="A250">
        <v>10002100</v>
      </c>
      <c r="B250" t="s">
        <v>46</v>
      </c>
      <c r="D250" t="s">
        <v>367</v>
      </c>
      <c r="E250" t="s">
        <v>99</v>
      </c>
      <c r="F250" t="s">
        <v>656</v>
      </c>
      <c r="G250" t="s">
        <v>666</v>
      </c>
      <c r="H250" t="s">
        <v>823</v>
      </c>
      <c r="I250">
        <v>49</v>
      </c>
      <c r="J250" s="1">
        <v>44424</v>
      </c>
      <c r="L250" t="str">
        <f>IF($B250="","",IFERROR(_xlfn.XLOOKUP(_xlfn.TEXTJOIN(" ",TRUE,_xlfn._xlws.SORT(_xlfn.TEXTSPLIT(TRIM(UPPER($B250))," ",,TRUE),1,1,TRUE)),puestos!$C$2:$C$324,puestos!$B$2:$B$324),"SIN PUESTO"))</f>
        <v>PROMOTOR DE VENTAS</v>
      </c>
    </row>
    <row r="251" spans="1:12" x14ac:dyDescent="0.35">
      <c r="A251">
        <v>10002112</v>
      </c>
      <c r="B251" t="s">
        <v>47</v>
      </c>
      <c r="D251" t="s">
        <v>368</v>
      </c>
      <c r="E251" t="s">
        <v>97</v>
      </c>
      <c r="F251" t="s">
        <v>656</v>
      </c>
      <c r="G251" t="s">
        <v>666</v>
      </c>
      <c r="H251" t="s">
        <v>823</v>
      </c>
      <c r="I251">
        <v>35</v>
      </c>
      <c r="J251" s="1">
        <v>44424</v>
      </c>
      <c r="L251" t="str">
        <f>IF($B251="","",IFERROR(_xlfn.XLOOKUP(_xlfn.TEXTJOIN(" ",TRUE,_xlfn._xlws.SORT(_xlfn.TEXTSPLIT(TRIM(UPPER($B251))," ",,TRUE),1,1,TRUE)),puestos!$C$2:$C$324,puestos!$B$2:$B$324),"SIN PUESTO"))</f>
        <v>PROMOTOR DE VENTAS</v>
      </c>
    </row>
    <row r="252" spans="1:12" x14ac:dyDescent="0.35">
      <c r="A252">
        <v>10002113</v>
      </c>
      <c r="B252" t="s">
        <v>48</v>
      </c>
      <c r="D252" t="s">
        <v>369</v>
      </c>
      <c r="E252" t="s">
        <v>99</v>
      </c>
      <c r="F252" t="s">
        <v>656</v>
      </c>
      <c r="G252" t="s">
        <v>666</v>
      </c>
      <c r="H252" t="s">
        <v>823</v>
      </c>
      <c r="I252">
        <v>35</v>
      </c>
      <c r="J252" s="1">
        <v>44431</v>
      </c>
      <c r="L252" t="str">
        <f>IF($B252="","",IFERROR(_xlfn.XLOOKUP(_xlfn.TEXTJOIN(" ",TRUE,_xlfn._xlws.SORT(_xlfn.TEXTSPLIT(TRIM(UPPER($B252))," ",,TRUE),1,1,TRUE)),puestos!$C$2:$C$324,puestos!$B$2:$B$324),"SIN PUESTO"))</f>
        <v>PROMOTOR DE VENTAS</v>
      </c>
    </row>
    <row r="253" spans="1:12" x14ac:dyDescent="0.35">
      <c r="A253">
        <v>10002118</v>
      </c>
      <c r="B253" t="s">
        <v>49</v>
      </c>
      <c r="C253" t="s">
        <v>706</v>
      </c>
      <c r="D253" t="s">
        <v>370</v>
      </c>
      <c r="E253" t="s">
        <v>159</v>
      </c>
      <c r="F253" t="s">
        <v>656</v>
      </c>
      <c r="G253" t="s">
        <v>666</v>
      </c>
      <c r="H253" t="s">
        <v>12</v>
      </c>
      <c r="I253">
        <v>27</v>
      </c>
      <c r="J253" s="1">
        <v>44431</v>
      </c>
      <c r="L253" t="str">
        <f>IF($B253="","",IFERROR(_xlfn.XLOOKUP(_xlfn.TEXTJOIN(" ",TRUE,_xlfn._xlws.SORT(_xlfn.TEXTSPLIT(TRIM(UPPER($B253))," ",,TRUE),1,1,TRUE)),puestos!$C$2:$C$324,puestos!$B$2:$B$324),"SIN PUESTO"))</f>
        <v>SUPERVISOR TRADE MARKETING</v>
      </c>
    </row>
    <row r="254" spans="1:12" x14ac:dyDescent="0.35">
      <c r="A254">
        <v>10002127</v>
      </c>
      <c r="B254" t="s">
        <v>50</v>
      </c>
      <c r="C254" t="s">
        <v>707</v>
      </c>
      <c r="D254" t="s">
        <v>371</v>
      </c>
      <c r="E254" t="s">
        <v>88</v>
      </c>
      <c r="F254" t="s">
        <v>658</v>
      </c>
      <c r="G254" t="s">
        <v>668</v>
      </c>
      <c r="H254" t="s">
        <v>12</v>
      </c>
      <c r="I254">
        <v>36</v>
      </c>
      <c r="J254" s="1">
        <v>44440</v>
      </c>
      <c r="L254" t="str">
        <f>IF($B254="","",IFERROR(_xlfn.XLOOKUP(_xlfn.TEXTJOIN(" ",TRUE,_xlfn._xlws.SORT(_xlfn.TEXTSPLIT(TRIM(UPPER($B254))," ",,TRUE),1,1,TRUE)),puestos!$C$2:$C$324,puestos!$B$2:$B$324),"SIN PUESTO"))</f>
        <v>FACTURADOR</v>
      </c>
    </row>
    <row r="255" spans="1:12" x14ac:dyDescent="0.35">
      <c r="A255">
        <v>10002150</v>
      </c>
      <c r="B255" t="s">
        <v>51</v>
      </c>
      <c r="D255" t="s">
        <v>372</v>
      </c>
      <c r="E255" t="s">
        <v>99</v>
      </c>
      <c r="F255" t="s">
        <v>656</v>
      </c>
      <c r="G255" t="s">
        <v>666</v>
      </c>
      <c r="H255" t="s">
        <v>823</v>
      </c>
      <c r="I255">
        <v>48</v>
      </c>
      <c r="J255" s="1">
        <v>44455</v>
      </c>
      <c r="L255" t="str">
        <f>IF($B255="","",IFERROR(_xlfn.XLOOKUP(_xlfn.TEXTJOIN(" ",TRUE,_xlfn._xlws.SORT(_xlfn.TEXTSPLIT(TRIM(UPPER($B255))," ",,TRUE),1,1,TRUE)),puestos!$C$2:$C$324,puestos!$B$2:$B$324),"SIN PUESTO"))</f>
        <v>PROMOTOR DE VENTAS</v>
      </c>
    </row>
    <row r="256" spans="1:12" x14ac:dyDescent="0.35">
      <c r="A256">
        <v>10002193</v>
      </c>
      <c r="B256" t="s">
        <v>52</v>
      </c>
      <c r="D256" t="s">
        <v>373</v>
      </c>
      <c r="E256" t="s">
        <v>99</v>
      </c>
      <c r="F256" t="s">
        <v>656</v>
      </c>
      <c r="G256" t="s">
        <v>666</v>
      </c>
      <c r="H256" t="s">
        <v>823</v>
      </c>
      <c r="I256">
        <v>20</v>
      </c>
      <c r="J256" s="1">
        <v>44487</v>
      </c>
      <c r="L256" t="str">
        <f>IF($B256="","",IFERROR(_xlfn.XLOOKUP(_xlfn.TEXTJOIN(" ",TRUE,_xlfn._xlws.SORT(_xlfn.TEXTSPLIT(TRIM(UPPER($B256))," ",,TRUE),1,1,TRUE)),puestos!$C$2:$C$324,puestos!$B$2:$B$324),"SIN PUESTO"))</f>
        <v>PROMOTOR DE VENTAS</v>
      </c>
    </row>
    <row r="257" spans="1:12" x14ac:dyDescent="0.35">
      <c r="A257">
        <v>10002195</v>
      </c>
      <c r="B257" t="s">
        <v>53</v>
      </c>
      <c r="C257" t="s">
        <v>708</v>
      </c>
      <c r="D257" t="s">
        <v>374</v>
      </c>
      <c r="E257" t="s">
        <v>111</v>
      </c>
      <c r="F257" t="s">
        <v>657</v>
      </c>
      <c r="G257" t="s">
        <v>657</v>
      </c>
      <c r="H257" t="s">
        <v>12</v>
      </c>
      <c r="I257">
        <v>40</v>
      </c>
      <c r="J257" s="1">
        <v>44494</v>
      </c>
      <c r="L257" t="str">
        <f>IF($B257="","",IFERROR(_xlfn.XLOOKUP(_xlfn.TEXTJOIN(" ",TRUE,_xlfn._xlws.SORT(_xlfn.TEXTSPLIT(TRIM(UPPER($B257))," ",,TRUE),1,1,TRUE)),puestos!$C$2:$C$324,puestos!$B$2:$B$324),"SIN PUESTO"))</f>
        <v>COORDINADOR DE PLANEACION FINANCIERA</v>
      </c>
    </row>
    <row r="258" spans="1:12" x14ac:dyDescent="0.35">
      <c r="A258">
        <v>10002200</v>
      </c>
      <c r="B258" t="s">
        <v>54</v>
      </c>
      <c r="D258" t="s">
        <v>375</v>
      </c>
      <c r="E258" t="s">
        <v>115</v>
      </c>
      <c r="F258" t="s">
        <v>656</v>
      </c>
      <c r="G258" t="s">
        <v>666</v>
      </c>
      <c r="H258" t="s">
        <v>823</v>
      </c>
      <c r="I258">
        <v>39</v>
      </c>
      <c r="J258" s="1">
        <v>44494</v>
      </c>
      <c r="L258" t="str">
        <f>IF($B258="","",IFERROR(_xlfn.XLOOKUP(_xlfn.TEXTJOIN(" ",TRUE,_xlfn._xlws.SORT(_xlfn.TEXTSPLIT(TRIM(UPPER($B258))," ",,TRUE),1,1,TRUE)),puestos!$C$2:$C$324,puestos!$B$2:$B$324),"SIN PUESTO"))</f>
        <v>PROMOTOR DE VENTAS</v>
      </c>
    </row>
    <row r="259" spans="1:12" x14ac:dyDescent="0.35">
      <c r="A259">
        <v>10002615</v>
      </c>
      <c r="B259" t="s">
        <v>55</v>
      </c>
      <c r="D259" t="s">
        <v>376</v>
      </c>
      <c r="E259" t="s">
        <v>97</v>
      </c>
      <c r="F259" t="s">
        <v>656</v>
      </c>
      <c r="G259" t="s">
        <v>666</v>
      </c>
      <c r="H259" t="s">
        <v>823</v>
      </c>
      <c r="I259">
        <v>34</v>
      </c>
      <c r="J259" s="1">
        <v>44522</v>
      </c>
      <c r="L259" t="str">
        <f>IF($B259="","",IFERROR(_xlfn.XLOOKUP(_xlfn.TEXTJOIN(" ",TRUE,_xlfn._xlws.SORT(_xlfn.TEXTSPLIT(TRIM(UPPER($B259))," ",,TRUE),1,1,TRUE)),puestos!$C$2:$C$324,puestos!$B$2:$B$324),"SIN PUESTO"))</f>
        <v>PROMOTOR DE VENTAS</v>
      </c>
    </row>
    <row r="260" spans="1:12" x14ac:dyDescent="0.35">
      <c r="A260">
        <v>10002617</v>
      </c>
      <c r="B260" t="s">
        <v>56</v>
      </c>
      <c r="D260" t="s">
        <v>377</v>
      </c>
      <c r="E260" t="s">
        <v>97</v>
      </c>
      <c r="F260" t="s">
        <v>656</v>
      </c>
      <c r="G260" t="s">
        <v>666</v>
      </c>
      <c r="H260" t="s">
        <v>823</v>
      </c>
      <c r="I260">
        <v>15</v>
      </c>
      <c r="J260" s="1">
        <v>44531</v>
      </c>
      <c r="L260" t="str">
        <f>IF($B260="","",IFERROR(_xlfn.XLOOKUP(_xlfn.TEXTJOIN(" ",TRUE,_xlfn._xlws.SORT(_xlfn.TEXTSPLIT(TRIM(UPPER($B260))," ",,TRUE),1,1,TRUE)),puestos!$C$2:$C$324,puestos!$B$2:$B$324),"SIN PUESTO"))</f>
        <v>PROMOTOR DE VENTAS</v>
      </c>
    </row>
    <row r="261" spans="1:12" x14ac:dyDescent="0.35">
      <c r="A261">
        <v>10002620</v>
      </c>
      <c r="B261" t="s">
        <v>57</v>
      </c>
      <c r="D261" t="s">
        <v>378</v>
      </c>
      <c r="E261" t="s">
        <v>115</v>
      </c>
      <c r="F261" t="s">
        <v>656</v>
      </c>
      <c r="G261" t="s">
        <v>666</v>
      </c>
      <c r="H261" t="s">
        <v>823</v>
      </c>
      <c r="I261">
        <v>31</v>
      </c>
      <c r="J261" s="1">
        <v>44536</v>
      </c>
      <c r="L261" t="str">
        <f>IF($B261="","",IFERROR(_xlfn.XLOOKUP(_xlfn.TEXTJOIN(" ",TRUE,_xlfn._xlws.SORT(_xlfn.TEXTSPLIT(TRIM(UPPER($B261))," ",,TRUE),1,1,TRUE)),puestos!$C$2:$C$324,puestos!$B$2:$B$324),"SIN PUESTO"))</f>
        <v>PROMOTOR DE VENTAS</v>
      </c>
    </row>
    <row r="262" spans="1:12" x14ac:dyDescent="0.35">
      <c r="A262">
        <v>10002646</v>
      </c>
      <c r="B262" t="s">
        <v>58</v>
      </c>
      <c r="C262" t="s">
        <v>709</v>
      </c>
      <c r="D262" t="s">
        <v>379</v>
      </c>
      <c r="E262" t="s">
        <v>190</v>
      </c>
      <c r="F262" t="s">
        <v>657</v>
      </c>
      <c r="G262" t="s">
        <v>672</v>
      </c>
      <c r="H262" t="s">
        <v>12</v>
      </c>
      <c r="I262">
        <v>34</v>
      </c>
      <c r="J262" s="1">
        <v>44662</v>
      </c>
      <c r="L262" t="str">
        <f>IF($B262="","",IFERROR(_xlfn.XLOOKUP(_xlfn.TEXTJOIN(" ",TRUE,_xlfn._xlws.SORT(_xlfn.TEXTSPLIT(TRIM(UPPER($B262))," ",,TRUE),1,1,TRUE)),puestos!$C$2:$C$324,puestos!$B$2:$B$324),"SIN PUESTO"))</f>
        <v>JEFE DE COSTOS</v>
      </c>
    </row>
    <row r="263" spans="1:12" x14ac:dyDescent="0.35">
      <c r="A263">
        <v>10002656</v>
      </c>
      <c r="B263" t="s">
        <v>59</v>
      </c>
      <c r="C263" t="s">
        <v>710</v>
      </c>
      <c r="D263" t="s">
        <v>380</v>
      </c>
      <c r="E263" t="s">
        <v>192</v>
      </c>
      <c r="F263" t="s">
        <v>657</v>
      </c>
      <c r="G263" t="s">
        <v>673</v>
      </c>
      <c r="H263" t="s">
        <v>12</v>
      </c>
      <c r="I263">
        <v>34</v>
      </c>
      <c r="J263" s="1">
        <v>44748</v>
      </c>
      <c r="L263" t="str">
        <f>IF($B263="","",IFERROR(_xlfn.XLOOKUP(_xlfn.TEXTJOIN(" ",TRUE,_xlfn._xlws.SORT(_xlfn.TEXTSPLIT(TRIM(UPPER($B263))," ",,TRUE),1,1,TRUE)),puestos!$C$2:$C$324,puestos!$B$2:$B$324),"SIN PUESTO"))</f>
        <v>COORDINADOR IT</v>
      </c>
    </row>
    <row r="264" spans="1:12" x14ac:dyDescent="0.35">
      <c r="A264">
        <v>10002664</v>
      </c>
      <c r="B264" t="s">
        <v>60</v>
      </c>
      <c r="C264" t="s">
        <v>711</v>
      </c>
      <c r="D264" t="s">
        <v>381</v>
      </c>
      <c r="E264" t="s">
        <v>333</v>
      </c>
      <c r="F264" t="s">
        <v>659</v>
      </c>
      <c r="G264" t="s">
        <v>671</v>
      </c>
      <c r="H264" t="s">
        <v>12</v>
      </c>
      <c r="I264">
        <v>14</v>
      </c>
      <c r="J264" s="1">
        <v>44774</v>
      </c>
      <c r="L264" t="str">
        <f>IF($B264="","",IFERROR(_xlfn.XLOOKUP(_xlfn.TEXTJOIN(" ",TRUE,_xlfn._xlws.SORT(_xlfn.TEXTSPLIT(TRIM(UPPER($B264))," ",,TRUE),1,1,TRUE)),puestos!$C$2:$C$324,puestos!$B$2:$B$324),"SIN PUESTO"))</f>
        <v>COORDINADOR DE COM &amp; CULTURA</v>
      </c>
    </row>
    <row r="265" spans="1:12" x14ac:dyDescent="0.35">
      <c r="A265">
        <v>10002674</v>
      </c>
      <c r="B265" t="s">
        <v>61</v>
      </c>
      <c r="C265" t="s">
        <v>712</v>
      </c>
      <c r="D265" t="s">
        <v>382</v>
      </c>
      <c r="E265" t="s">
        <v>189</v>
      </c>
      <c r="F265" t="s">
        <v>660</v>
      </c>
      <c r="G265" t="s">
        <v>674</v>
      </c>
      <c r="H265" t="s">
        <v>12</v>
      </c>
      <c r="I265">
        <v>30</v>
      </c>
      <c r="J265" s="1">
        <v>39084</v>
      </c>
      <c r="L265" t="str">
        <f>IF($B265="","",IFERROR(_xlfn.XLOOKUP(_xlfn.TEXTJOIN(" ",TRUE,_xlfn._xlws.SORT(_xlfn.TEXTSPLIT(TRIM(UPPER($B265))," ",,TRUE),1,1,TRUE)),puestos!$C$2:$C$324,puestos!$B$2:$B$324),"SIN PUESTO"))</f>
        <v>JEFE DE R&amp;D</v>
      </c>
    </row>
    <row r="266" spans="1:12" x14ac:dyDescent="0.35">
      <c r="A266">
        <v>10002681</v>
      </c>
      <c r="B266" t="s">
        <v>62</v>
      </c>
      <c r="C266" t="s">
        <v>713</v>
      </c>
      <c r="D266" t="s">
        <v>383</v>
      </c>
      <c r="E266" t="s">
        <v>190</v>
      </c>
      <c r="F266" t="s">
        <v>657</v>
      </c>
      <c r="G266" t="s">
        <v>675</v>
      </c>
      <c r="H266" t="s">
        <v>12</v>
      </c>
      <c r="I266">
        <v>15</v>
      </c>
      <c r="J266" s="1">
        <v>44805</v>
      </c>
      <c r="L266" t="str">
        <f>IF($B266="","",IFERROR(_xlfn.XLOOKUP(_xlfn.TEXTJOIN(" ",TRUE,_xlfn._xlws.SORT(_xlfn.TEXTSPLIT(TRIM(UPPER($B266))," ",,TRUE),1,1,TRUE)),puestos!$C$2:$C$324,puestos!$B$2:$B$324),"SIN PUESTO"))</f>
        <v>JEFE DE CONTABILIDAD</v>
      </c>
    </row>
    <row r="267" spans="1:12" x14ac:dyDescent="0.35">
      <c r="A267">
        <v>10002687</v>
      </c>
      <c r="B267" t="s">
        <v>63</v>
      </c>
      <c r="D267" t="s">
        <v>384</v>
      </c>
      <c r="E267" t="s">
        <v>94</v>
      </c>
      <c r="F267" t="s">
        <v>656</v>
      </c>
      <c r="G267" t="s">
        <v>666</v>
      </c>
      <c r="H267" t="s">
        <v>823</v>
      </c>
      <c r="I267">
        <v>30</v>
      </c>
      <c r="J267" s="1">
        <v>44816</v>
      </c>
      <c r="L267" t="str">
        <f>IF($B267="","",IFERROR(_xlfn.XLOOKUP(_xlfn.TEXTJOIN(" ",TRUE,_xlfn._xlws.SORT(_xlfn.TEXTSPLIT(TRIM(UPPER($B267))," ",,TRUE),1,1,TRUE)),puestos!$C$2:$C$324,puestos!$B$2:$B$324),"SIN PUESTO"))</f>
        <v>PROMOTOR DE VENTAS</v>
      </c>
    </row>
    <row r="268" spans="1:12" x14ac:dyDescent="0.35">
      <c r="A268">
        <v>10003806</v>
      </c>
      <c r="B268" t="s">
        <v>64</v>
      </c>
      <c r="D268" t="s">
        <v>385</v>
      </c>
      <c r="E268" t="s">
        <v>97</v>
      </c>
      <c r="F268" t="s">
        <v>656</v>
      </c>
      <c r="G268" t="s">
        <v>666</v>
      </c>
      <c r="H268" t="s">
        <v>823</v>
      </c>
      <c r="I268">
        <v>30</v>
      </c>
      <c r="J268" s="1">
        <v>44851</v>
      </c>
      <c r="L268" t="str">
        <f>IF($B268="","",IFERROR(_xlfn.XLOOKUP(_xlfn.TEXTJOIN(" ",TRUE,_xlfn._xlws.SORT(_xlfn.TEXTSPLIT(TRIM(UPPER($B268))," ",,TRUE),1,1,TRUE)),puestos!$C$2:$C$324,puestos!$B$2:$B$324),"SIN PUESTO"))</f>
        <v>PROMOTOR DE VENTAS</v>
      </c>
    </row>
    <row r="269" spans="1:12" x14ac:dyDescent="0.35">
      <c r="A269">
        <v>10003809</v>
      </c>
      <c r="B269" t="s">
        <v>65</v>
      </c>
      <c r="D269" t="s">
        <v>386</v>
      </c>
      <c r="E269" t="s">
        <v>97</v>
      </c>
      <c r="F269" t="s">
        <v>656</v>
      </c>
      <c r="G269" t="s">
        <v>666</v>
      </c>
      <c r="H269" t="s">
        <v>823</v>
      </c>
      <c r="I269">
        <v>31</v>
      </c>
      <c r="J269" s="1">
        <v>44851</v>
      </c>
      <c r="L269" t="str">
        <f>IF($B269="","",IFERROR(_xlfn.XLOOKUP(_xlfn.TEXTJOIN(" ",TRUE,_xlfn._xlws.SORT(_xlfn.TEXTSPLIT(TRIM(UPPER($B269))," ",,TRUE),1,1,TRUE)),puestos!$C$2:$C$324,puestos!$B$2:$B$324),"SIN PUESTO"))</f>
        <v>PROMOTOR DE VENTAS</v>
      </c>
    </row>
    <row r="270" spans="1:12" x14ac:dyDescent="0.35">
      <c r="A270">
        <v>10003810</v>
      </c>
      <c r="B270" t="s">
        <v>66</v>
      </c>
      <c r="C270" t="s">
        <v>714</v>
      </c>
      <c r="D270" t="s">
        <v>387</v>
      </c>
      <c r="E270" t="s">
        <v>88</v>
      </c>
      <c r="F270" t="s">
        <v>658</v>
      </c>
      <c r="G270" t="s">
        <v>667</v>
      </c>
      <c r="H270" t="s">
        <v>12</v>
      </c>
      <c r="I270">
        <v>29</v>
      </c>
      <c r="J270" s="1">
        <v>44851</v>
      </c>
      <c r="L270" t="str">
        <f>IF($B270="","",IFERROR(_xlfn.XLOOKUP(_xlfn.TEXTJOIN(" ",TRUE,_xlfn._xlws.SORT(_xlfn.TEXTSPLIT(TRIM(UPPER($B270))," ",,TRUE),1,1,TRUE)),puestos!$C$2:$C$324,puestos!$B$2:$B$324),"SIN PUESTO"))</f>
        <v>COORDINADOR SAC</v>
      </c>
    </row>
    <row r="271" spans="1:12" x14ac:dyDescent="0.35">
      <c r="A271">
        <v>10003829</v>
      </c>
      <c r="B271" t="s">
        <v>67</v>
      </c>
      <c r="D271" t="s">
        <v>388</v>
      </c>
      <c r="E271" t="s">
        <v>94</v>
      </c>
      <c r="F271" t="s">
        <v>656</v>
      </c>
      <c r="G271" t="s">
        <v>666</v>
      </c>
      <c r="H271" t="s">
        <v>823</v>
      </c>
      <c r="I271">
        <v>22</v>
      </c>
      <c r="J271" s="1">
        <v>44945</v>
      </c>
      <c r="L271" t="str">
        <f>IF($B271="","",IFERROR(_xlfn.XLOOKUP(_xlfn.TEXTJOIN(" ",TRUE,_xlfn._xlws.SORT(_xlfn.TEXTSPLIT(TRIM(UPPER($B271))," ",,TRUE),1,1,TRUE)),puestos!$C$2:$C$324,puestos!$B$2:$B$324),"SIN PUESTO"))</f>
        <v>PROMOTOR DE VENTAS</v>
      </c>
    </row>
    <row r="272" spans="1:12" x14ac:dyDescent="0.35">
      <c r="A272">
        <v>10003833</v>
      </c>
      <c r="B272" t="s">
        <v>68</v>
      </c>
      <c r="C272" t="s">
        <v>715</v>
      </c>
      <c r="D272" t="s">
        <v>389</v>
      </c>
      <c r="E272" t="s">
        <v>182</v>
      </c>
      <c r="F272" t="s">
        <v>657</v>
      </c>
      <c r="G272" t="s">
        <v>676</v>
      </c>
      <c r="H272" t="s">
        <v>12</v>
      </c>
      <c r="I272">
        <v>21</v>
      </c>
      <c r="J272" s="1">
        <v>44964</v>
      </c>
      <c r="L272" t="str">
        <f>IF($B272="","",IFERROR(_xlfn.XLOOKUP(_xlfn.TEXTJOIN(" ",TRUE,_xlfn._xlws.SORT(_xlfn.TEXTSPLIT(TRIM(UPPER($B272))," ",,TRUE),1,1,TRUE)),puestos!$C$2:$C$324,puestos!$B$2:$B$324),"SIN PUESTO"))</f>
        <v>ANALISTA FISCAL</v>
      </c>
    </row>
    <row r="273" spans="1:12" x14ac:dyDescent="0.35">
      <c r="A273">
        <v>10003839</v>
      </c>
      <c r="B273" t="s">
        <v>69</v>
      </c>
      <c r="D273" t="s">
        <v>390</v>
      </c>
      <c r="E273" t="s">
        <v>99</v>
      </c>
      <c r="F273" t="s">
        <v>656</v>
      </c>
      <c r="G273" t="s">
        <v>666</v>
      </c>
      <c r="H273" t="s">
        <v>823</v>
      </c>
      <c r="I273">
        <v>21</v>
      </c>
      <c r="J273" s="1">
        <v>44973</v>
      </c>
      <c r="L273" t="str">
        <f>IF($B273="","",IFERROR(_xlfn.XLOOKUP(_xlfn.TEXTJOIN(" ",TRUE,_xlfn._xlws.SORT(_xlfn.TEXTSPLIT(TRIM(UPPER($B273))," ",,TRUE),1,1,TRUE)),puestos!$C$2:$C$324,puestos!$B$2:$B$324),"SIN PUESTO"))</f>
        <v>PROMOTOR DE VENTAS</v>
      </c>
    </row>
    <row r="274" spans="1:12" x14ac:dyDescent="0.35">
      <c r="A274">
        <v>10003849</v>
      </c>
      <c r="B274" t="s">
        <v>70</v>
      </c>
      <c r="C274" t="s">
        <v>716</v>
      </c>
      <c r="D274" t="s">
        <v>391</v>
      </c>
      <c r="E274" t="s">
        <v>157</v>
      </c>
      <c r="F274" t="s">
        <v>657</v>
      </c>
      <c r="G274" t="s">
        <v>677</v>
      </c>
      <c r="H274" t="s">
        <v>12</v>
      </c>
      <c r="I274">
        <v>28</v>
      </c>
      <c r="J274" s="1">
        <v>45000</v>
      </c>
      <c r="L274" t="str">
        <f>IF($B274="","",IFERROR(_xlfn.XLOOKUP(_xlfn.TEXTJOIN(" ",TRUE,_xlfn._xlws.SORT(_xlfn.TEXTSPLIT(TRIM(UPPER($B274))," ",,TRUE),1,1,TRUE)),puestos!$C$2:$C$324,puestos!$B$2:$B$324),"SIN PUESTO"))</f>
        <v>ANALISTA CUENTAS POR PAGAR</v>
      </c>
    </row>
    <row r="275" spans="1:12" x14ac:dyDescent="0.35">
      <c r="A275">
        <v>10003858</v>
      </c>
      <c r="B275" t="s">
        <v>71</v>
      </c>
      <c r="C275" t="s">
        <v>717</v>
      </c>
      <c r="D275" t="s">
        <v>392</v>
      </c>
      <c r="E275" t="s">
        <v>332</v>
      </c>
      <c r="F275" t="s">
        <v>661</v>
      </c>
      <c r="G275" t="s">
        <v>678</v>
      </c>
      <c r="H275" t="s">
        <v>12</v>
      </c>
      <c r="I275">
        <v>10</v>
      </c>
      <c r="J275" s="1">
        <v>45033</v>
      </c>
      <c r="L275" t="str">
        <f>IF($B275="","",IFERROR(_xlfn.XLOOKUP(_xlfn.TEXTJOIN(" ",TRUE,_xlfn._xlws.SORT(_xlfn.TEXTSPLIT(TRIM(UPPER($B275))," ",,TRUE),1,1,TRUE)),puestos!$C$2:$C$324,puestos!$B$2:$B$324),"SIN PUESTO"))</f>
        <v>ANALISTA BI</v>
      </c>
    </row>
    <row r="276" spans="1:12" x14ac:dyDescent="0.35">
      <c r="A276">
        <v>10003879</v>
      </c>
      <c r="B276" t="s">
        <v>72</v>
      </c>
      <c r="C276" t="s">
        <v>718</v>
      </c>
      <c r="D276" t="s">
        <v>393</v>
      </c>
      <c r="E276" t="s">
        <v>109</v>
      </c>
      <c r="F276" t="s">
        <v>662</v>
      </c>
      <c r="G276" t="s">
        <v>662</v>
      </c>
      <c r="H276" t="s">
        <v>12</v>
      </c>
      <c r="I276">
        <v>21</v>
      </c>
      <c r="J276" s="1">
        <v>45092</v>
      </c>
      <c r="L276" t="str">
        <f>IF($B276="","",IFERROR(_xlfn.XLOOKUP(_xlfn.TEXTJOIN(" ",TRUE,_xlfn._xlws.SORT(_xlfn.TEXTSPLIT(TRIM(UPPER($B276))," ",,TRUE),1,1,TRUE)),puestos!$C$2:$C$324,puestos!$B$2:$B$324),"SIN PUESTO"))</f>
        <v>COORDINADOR DE COMPRAS</v>
      </c>
    </row>
    <row r="277" spans="1:12" x14ac:dyDescent="0.35">
      <c r="A277">
        <v>10003894</v>
      </c>
      <c r="B277" t="s">
        <v>73</v>
      </c>
      <c r="C277" t="s">
        <v>719</v>
      </c>
      <c r="D277" t="s">
        <v>394</v>
      </c>
      <c r="E277" t="s">
        <v>53</v>
      </c>
      <c r="F277" t="s">
        <v>657</v>
      </c>
      <c r="G277" t="s">
        <v>657</v>
      </c>
      <c r="H277" t="s">
        <v>12</v>
      </c>
      <c r="I277">
        <v>14</v>
      </c>
      <c r="J277" s="1">
        <v>45131</v>
      </c>
      <c r="L277" t="str">
        <f>IF($B277="","",IFERROR(_xlfn.XLOOKUP(_xlfn.TEXTJOIN(" ",TRUE,_xlfn._xlws.SORT(_xlfn.TEXTSPLIT(TRIM(UPPER($B277))," ",,TRUE),1,1,TRUE)),puestos!$C$2:$C$324,puestos!$B$2:$B$324),"SIN PUESTO"))</f>
        <v>ANALISTA FINANCIERO</v>
      </c>
    </row>
    <row r="278" spans="1:12" x14ac:dyDescent="0.35">
      <c r="A278">
        <v>10004316</v>
      </c>
      <c r="B278" t="s">
        <v>74</v>
      </c>
      <c r="D278" t="s">
        <v>395</v>
      </c>
      <c r="E278" t="s">
        <v>49</v>
      </c>
      <c r="F278" t="s">
        <v>656</v>
      </c>
      <c r="G278" t="s">
        <v>666</v>
      </c>
      <c r="H278" t="s">
        <v>823</v>
      </c>
      <c r="I278">
        <v>20</v>
      </c>
      <c r="J278" s="1">
        <v>45187</v>
      </c>
      <c r="L278" t="str">
        <f>IF($B278="","",IFERROR(_xlfn.XLOOKUP(_xlfn.TEXTJOIN(" ",TRUE,_xlfn._xlws.SORT(_xlfn.TEXTSPLIT(TRIM(UPPER($B278))," ",,TRUE),1,1,TRUE)),puestos!$C$2:$C$324,puestos!$B$2:$B$324),"SIN PUESTO"))</f>
        <v>PROMOTOR DE VENTAS</v>
      </c>
    </row>
    <row r="279" spans="1:12" x14ac:dyDescent="0.35">
      <c r="A279">
        <v>10004318</v>
      </c>
      <c r="B279" t="s">
        <v>75</v>
      </c>
      <c r="D279" t="s">
        <v>396</v>
      </c>
      <c r="E279" t="s">
        <v>99</v>
      </c>
      <c r="F279" t="s">
        <v>656</v>
      </c>
      <c r="G279" t="s">
        <v>666</v>
      </c>
      <c r="H279" t="s">
        <v>823</v>
      </c>
      <c r="I279">
        <v>26</v>
      </c>
      <c r="J279" s="1">
        <v>45187</v>
      </c>
      <c r="L279" t="str">
        <f>IF($B279="","",IFERROR(_xlfn.XLOOKUP(_xlfn.TEXTJOIN(" ",TRUE,_xlfn._xlws.SORT(_xlfn.TEXTSPLIT(TRIM(UPPER($B279))," ",,TRUE),1,1,TRUE)),puestos!$C$2:$C$324,puestos!$B$2:$B$324),"SIN PUESTO"))</f>
        <v>PROMOTOR DE VENTAS</v>
      </c>
    </row>
    <row r="280" spans="1:12" x14ac:dyDescent="0.35">
      <c r="A280">
        <v>10004338</v>
      </c>
      <c r="B280" t="s">
        <v>76</v>
      </c>
      <c r="D280" t="s">
        <v>397</v>
      </c>
      <c r="E280" t="s">
        <v>99</v>
      </c>
      <c r="F280" t="s">
        <v>656</v>
      </c>
      <c r="G280" t="s">
        <v>666</v>
      </c>
      <c r="H280" t="s">
        <v>823</v>
      </c>
      <c r="I280">
        <v>33</v>
      </c>
      <c r="J280" s="1">
        <v>45208</v>
      </c>
      <c r="L280" t="str">
        <f>IF($B280="","",IFERROR(_xlfn.XLOOKUP(_xlfn.TEXTJOIN(" ",TRUE,_xlfn._xlws.SORT(_xlfn.TEXTSPLIT(TRIM(UPPER($B280))," ",,TRUE),1,1,TRUE)),puestos!$C$2:$C$324,puestos!$B$2:$B$324),"SIN PUESTO"))</f>
        <v>PROMOTOR DE VENTAS</v>
      </c>
    </row>
    <row r="281" spans="1:12" x14ac:dyDescent="0.35">
      <c r="A281">
        <v>10004363</v>
      </c>
      <c r="B281" t="s">
        <v>77</v>
      </c>
      <c r="C281" t="s">
        <v>720</v>
      </c>
      <c r="D281" t="s">
        <v>398</v>
      </c>
      <c r="E281" t="s">
        <v>268</v>
      </c>
      <c r="F281" t="s">
        <v>658</v>
      </c>
      <c r="G281" t="s">
        <v>668</v>
      </c>
      <c r="H281" t="s">
        <v>12</v>
      </c>
      <c r="I281">
        <v>18</v>
      </c>
      <c r="J281" s="1">
        <v>45264</v>
      </c>
      <c r="L281" t="str">
        <f>IF($B281="","",IFERROR(_xlfn.XLOOKUP(_xlfn.TEXTJOIN(" ",TRUE,_xlfn._xlws.SORT(_xlfn.TEXTSPLIT(TRIM(UPPER($B281))," ",,TRUE),1,1,TRUE)),puestos!$C$2:$C$324,puestos!$B$2:$B$324),"SIN PUESTO"))</f>
        <v>COORDINADOR DE BODEGA</v>
      </c>
    </row>
    <row r="282" spans="1:12" x14ac:dyDescent="0.35">
      <c r="A282">
        <v>10004383</v>
      </c>
      <c r="B282" t="s">
        <v>78</v>
      </c>
      <c r="D282" t="s">
        <v>399</v>
      </c>
      <c r="E282" t="s">
        <v>49</v>
      </c>
      <c r="F282" t="s">
        <v>656</v>
      </c>
      <c r="G282" t="s">
        <v>666</v>
      </c>
      <c r="H282" t="s">
        <v>823</v>
      </c>
      <c r="I282">
        <v>26</v>
      </c>
      <c r="J282" s="1">
        <v>45315</v>
      </c>
      <c r="L282" t="str">
        <f>IF($B282="","",IFERROR(_xlfn.XLOOKUP(_xlfn.TEXTJOIN(" ",TRUE,_xlfn._xlws.SORT(_xlfn.TEXTSPLIT(TRIM(UPPER($B282))," ",,TRUE),1,1,TRUE)),puestos!$C$2:$C$324,puestos!$B$2:$B$324),"SIN PUESTO"))</f>
        <v>PROMOTOR DE VENTAS</v>
      </c>
    </row>
    <row r="283" spans="1:12" x14ac:dyDescent="0.35">
      <c r="A283">
        <v>10004914</v>
      </c>
      <c r="B283" t="s">
        <v>79</v>
      </c>
      <c r="C283" t="s">
        <v>721</v>
      </c>
      <c r="D283" t="s">
        <v>400</v>
      </c>
      <c r="E283" t="s">
        <v>104</v>
      </c>
      <c r="F283" t="s">
        <v>658</v>
      </c>
      <c r="G283" t="s">
        <v>668</v>
      </c>
      <c r="H283" t="s">
        <v>12</v>
      </c>
      <c r="I283">
        <v>3</v>
      </c>
      <c r="J283" s="1">
        <v>45372</v>
      </c>
      <c r="L283" t="str">
        <f>IF($B283="","",IFERROR(_xlfn.XLOOKUP(_xlfn.TEXTJOIN(" ",TRUE,_xlfn._xlws.SORT(_xlfn.TEXTSPLIT(TRIM(UPPER($B283))," ",,TRUE),1,1,TRUE)),puestos!$C$2:$C$324,puestos!$B$2:$B$324),"SIN PUESTO"))</f>
        <v>COORDINADOR DE TRANSPORTE</v>
      </c>
    </row>
    <row r="284" spans="1:12" x14ac:dyDescent="0.35">
      <c r="A284">
        <v>10004915</v>
      </c>
      <c r="B284" t="s">
        <v>80</v>
      </c>
      <c r="D284" t="s">
        <v>401</v>
      </c>
      <c r="E284" t="s">
        <v>115</v>
      </c>
      <c r="F284" t="s">
        <v>656</v>
      </c>
      <c r="G284" t="s">
        <v>666</v>
      </c>
      <c r="H284" t="s">
        <v>823</v>
      </c>
      <c r="I284">
        <v>16</v>
      </c>
      <c r="J284" s="1">
        <v>45376</v>
      </c>
      <c r="L284" t="str">
        <f>IF($B284="","",IFERROR(_xlfn.XLOOKUP(_xlfn.TEXTJOIN(" ",TRUE,_xlfn._xlws.SORT(_xlfn.TEXTSPLIT(TRIM(UPPER($B284))," ",,TRUE),1,1,TRUE)),puestos!$C$2:$C$324,puestos!$B$2:$B$324),"SIN PUESTO"))</f>
        <v>PROMOTOR DE VENTAS</v>
      </c>
    </row>
    <row r="285" spans="1:12" x14ac:dyDescent="0.35">
      <c r="A285">
        <v>10004926</v>
      </c>
      <c r="B285" t="s">
        <v>81</v>
      </c>
      <c r="D285" t="s">
        <v>402</v>
      </c>
      <c r="E285" t="s">
        <v>49</v>
      </c>
      <c r="F285" t="s">
        <v>656</v>
      </c>
      <c r="G285" t="s">
        <v>666</v>
      </c>
      <c r="H285" t="s">
        <v>823</v>
      </c>
      <c r="I285">
        <v>24</v>
      </c>
      <c r="J285" s="1">
        <v>45401</v>
      </c>
      <c r="L285" t="str">
        <f>IF($B285="","",IFERROR(_xlfn.XLOOKUP(_xlfn.TEXTJOIN(" ",TRUE,_xlfn._xlws.SORT(_xlfn.TEXTSPLIT(TRIM(UPPER($B285))," ",,TRUE),1,1,TRUE)),puestos!$C$2:$C$324,puestos!$B$2:$B$324),"SIN PUESTO"))</f>
        <v>PROMOTOR DE VENTAS</v>
      </c>
    </row>
    <row r="286" spans="1:12" x14ac:dyDescent="0.35">
      <c r="A286">
        <v>10004943</v>
      </c>
      <c r="B286" t="s">
        <v>82</v>
      </c>
      <c r="C286" t="s">
        <v>722</v>
      </c>
      <c r="D286" t="s">
        <v>403</v>
      </c>
      <c r="E286" t="s">
        <v>104</v>
      </c>
      <c r="F286" t="s">
        <v>658</v>
      </c>
      <c r="G286" t="s">
        <v>668</v>
      </c>
      <c r="H286" t="s">
        <v>12</v>
      </c>
      <c r="I286">
        <v>13</v>
      </c>
      <c r="J286" s="1">
        <v>45425</v>
      </c>
      <c r="L286" t="str">
        <f>IF($B286="","",IFERROR(_xlfn.XLOOKUP(_xlfn.TEXTJOIN(" ",TRUE,_xlfn._xlws.SORT(_xlfn.TEXTSPLIT(TRIM(UPPER($B286))," ",,TRUE),1,1,TRUE)),puestos!$C$2:$C$324,puestos!$B$2:$B$324),"SIN PUESTO"))</f>
        <v>COORDINADOR DE BODEGA</v>
      </c>
    </row>
    <row r="287" spans="1:12" x14ac:dyDescent="0.35">
      <c r="A287">
        <v>10004958</v>
      </c>
      <c r="B287" t="s">
        <v>83</v>
      </c>
      <c r="C287" t="s">
        <v>723</v>
      </c>
      <c r="D287" t="s">
        <v>404</v>
      </c>
      <c r="E287" t="s">
        <v>192</v>
      </c>
      <c r="F287" t="s">
        <v>657</v>
      </c>
      <c r="G287" t="s">
        <v>657</v>
      </c>
      <c r="H287" t="s">
        <v>12</v>
      </c>
      <c r="I287">
        <v>11</v>
      </c>
      <c r="J287" s="1">
        <v>44655</v>
      </c>
      <c r="L287" t="str">
        <f>IF($B287="","",IFERROR(_xlfn.XLOOKUP(_xlfn.TEXTJOIN(" ",TRUE,_xlfn._xlws.SORT(_xlfn.TEXTSPLIT(TRIM(UPPER($B287))," ",,TRUE),1,1,TRUE)),puestos!$C$2:$C$324,puestos!$B$2:$B$324),"SIN PUESTO"))</f>
        <v>JEFE DE TESORERIA</v>
      </c>
    </row>
    <row r="288" spans="1:12" x14ac:dyDescent="0.35">
      <c r="A288">
        <v>10004972</v>
      </c>
      <c r="B288" t="s">
        <v>84</v>
      </c>
      <c r="D288" t="s">
        <v>405</v>
      </c>
      <c r="E288" t="s">
        <v>99</v>
      </c>
      <c r="F288" t="s">
        <v>656</v>
      </c>
      <c r="G288" t="s">
        <v>666</v>
      </c>
      <c r="H288" t="s">
        <v>823</v>
      </c>
      <c r="I288">
        <v>22</v>
      </c>
      <c r="J288" s="1">
        <v>45467</v>
      </c>
      <c r="L288" t="str">
        <f>IF($B288="","",IFERROR(_xlfn.XLOOKUP(_xlfn.TEXTJOIN(" ",TRUE,_xlfn._xlws.SORT(_xlfn.TEXTSPLIT(TRIM(UPPER($B288))," ",,TRUE),1,1,TRUE)),puestos!$C$2:$C$324,puestos!$B$2:$B$324),"SIN PUESTO"))</f>
        <v>PROMOTOR DE VENTAS</v>
      </c>
    </row>
    <row r="289" spans="1:12" x14ac:dyDescent="0.35">
      <c r="A289">
        <v>10004990</v>
      </c>
      <c r="B289" t="s">
        <v>85</v>
      </c>
      <c r="C289" t="s">
        <v>724</v>
      </c>
      <c r="D289" t="s">
        <v>406</v>
      </c>
      <c r="E289" t="s">
        <v>86</v>
      </c>
      <c r="F289" t="s">
        <v>656</v>
      </c>
      <c r="G289" t="s">
        <v>656</v>
      </c>
      <c r="H289" t="s">
        <v>12</v>
      </c>
      <c r="I289">
        <v>25</v>
      </c>
      <c r="J289" s="1">
        <v>45502</v>
      </c>
      <c r="L289" t="str">
        <f>IF($B289="","",IFERROR(_xlfn.XLOOKUP(_xlfn.TEXTJOIN(" ",TRUE,_xlfn._xlws.SORT(_xlfn.TEXTSPLIT(TRIM(UPPER($B289))," ",,TRUE),1,1,TRUE)),puestos!$C$2:$C$324,puestos!$B$2:$B$324),"SIN PUESTO"))</f>
        <v>CPFR</v>
      </c>
    </row>
    <row r="290" spans="1:12" x14ac:dyDescent="0.35">
      <c r="A290">
        <v>10004991</v>
      </c>
      <c r="B290" t="s">
        <v>86</v>
      </c>
      <c r="C290" t="s">
        <v>725</v>
      </c>
      <c r="D290" t="s">
        <v>407</v>
      </c>
      <c r="E290" t="s">
        <v>133</v>
      </c>
      <c r="F290" t="s">
        <v>656</v>
      </c>
      <c r="G290" t="s">
        <v>656</v>
      </c>
      <c r="H290" t="s">
        <v>12</v>
      </c>
      <c r="I290">
        <v>21</v>
      </c>
      <c r="J290" s="1">
        <v>45505</v>
      </c>
      <c r="L290" t="str">
        <f>IF($B290="","",IFERROR(_xlfn.XLOOKUP(_xlfn.TEXTJOIN(" ",TRUE,_xlfn._xlws.SORT(_xlfn.TEXTSPLIT(TRIM(UPPER($B290))," ",,TRUE),1,1,TRUE)),puestos!$C$2:$C$324,puestos!$B$2:$B$324),"SIN PUESTO"))</f>
        <v>KAM VALLE DE MEXICO</v>
      </c>
    </row>
    <row r="291" spans="1:12" x14ac:dyDescent="0.35">
      <c r="A291">
        <v>10004995</v>
      </c>
      <c r="B291" t="s">
        <v>87</v>
      </c>
      <c r="D291" t="s">
        <v>408</v>
      </c>
      <c r="E291" t="s">
        <v>99</v>
      </c>
      <c r="F291" t="s">
        <v>656</v>
      </c>
      <c r="G291" t="s">
        <v>666</v>
      </c>
      <c r="H291" t="s">
        <v>823</v>
      </c>
      <c r="I291">
        <v>23</v>
      </c>
      <c r="J291" s="1">
        <v>45519</v>
      </c>
      <c r="L291" t="str">
        <f>IF($B291="","",IFERROR(_xlfn.XLOOKUP(_xlfn.TEXTJOIN(" ",TRUE,_xlfn._xlws.SORT(_xlfn.TEXTSPLIT(TRIM(UPPER($B291))," ",,TRUE),1,1,TRUE)),puestos!$C$2:$C$324,puestos!$B$2:$B$324),"SIN PUESTO"))</f>
        <v>PROMOTOR DE VENTAS</v>
      </c>
    </row>
    <row r="292" spans="1:12" x14ac:dyDescent="0.35">
      <c r="A292">
        <v>10005202</v>
      </c>
      <c r="B292" t="s">
        <v>88</v>
      </c>
      <c r="C292" t="s">
        <v>726</v>
      </c>
      <c r="D292" t="s">
        <v>409</v>
      </c>
      <c r="E292" t="s">
        <v>174</v>
      </c>
      <c r="F292" t="s">
        <v>658</v>
      </c>
      <c r="G292" t="s">
        <v>668</v>
      </c>
      <c r="H292" t="s">
        <v>12</v>
      </c>
      <c r="I292">
        <v>26</v>
      </c>
      <c r="J292" s="1">
        <v>45537</v>
      </c>
      <c r="L292" t="str">
        <f>IF($B292="","",IFERROR(_xlfn.XLOOKUP(_xlfn.TEXTJOIN(" ",TRUE,_xlfn._xlws.SORT(_xlfn.TEXTSPLIT(TRIM(UPPER($B292))," ",,TRUE),1,1,TRUE)),puestos!$C$2:$C$324,puestos!$B$2:$B$324),"SIN PUESTO"))</f>
        <v>JEFE DE SAC</v>
      </c>
    </row>
    <row r="293" spans="1:12" x14ac:dyDescent="0.35">
      <c r="A293">
        <v>10005211</v>
      </c>
      <c r="B293" t="s">
        <v>89</v>
      </c>
      <c r="D293" t="s">
        <v>410</v>
      </c>
      <c r="E293" t="s">
        <v>97</v>
      </c>
      <c r="F293" t="s">
        <v>656</v>
      </c>
      <c r="G293" t="s">
        <v>666</v>
      </c>
      <c r="H293" t="s">
        <v>823</v>
      </c>
      <c r="I293">
        <v>44</v>
      </c>
      <c r="J293" s="1">
        <v>45558</v>
      </c>
      <c r="L293" t="str">
        <f>IF($B293="","",IFERROR(_xlfn.XLOOKUP(_xlfn.TEXTJOIN(" ",TRUE,_xlfn._xlws.SORT(_xlfn.TEXTSPLIT(TRIM(UPPER($B293))," ",,TRUE),1,1,TRUE)),puestos!$C$2:$C$324,puestos!$B$2:$B$324),"SIN PUESTO"))</f>
        <v>PROMOTOR DE VENTAS</v>
      </c>
    </row>
    <row r="294" spans="1:12" x14ac:dyDescent="0.35">
      <c r="A294">
        <v>10005216</v>
      </c>
      <c r="B294" t="s">
        <v>90</v>
      </c>
      <c r="D294" t="s">
        <v>411</v>
      </c>
      <c r="E294" t="s">
        <v>115</v>
      </c>
      <c r="F294" t="s">
        <v>656</v>
      </c>
      <c r="G294" t="s">
        <v>666</v>
      </c>
      <c r="H294" t="s">
        <v>823</v>
      </c>
      <c r="I294">
        <v>40</v>
      </c>
      <c r="J294" s="1">
        <v>45565</v>
      </c>
      <c r="L294" t="str">
        <f>IF($B294="","",IFERROR(_xlfn.XLOOKUP(_xlfn.TEXTJOIN(" ",TRUE,_xlfn._xlws.SORT(_xlfn.TEXTSPLIT(TRIM(UPPER($B294))," ",,TRUE),1,1,TRUE)),puestos!$C$2:$C$324,puestos!$B$2:$B$324),"SIN PUESTO"))</f>
        <v>PROMOTOR DE VENTAS</v>
      </c>
    </row>
    <row r="295" spans="1:12" x14ac:dyDescent="0.35">
      <c r="A295">
        <v>10005217</v>
      </c>
      <c r="B295" t="s">
        <v>91</v>
      </c>
      <c r="C295" t="s">
        <v>727</v>
      </c>
      <c r="D295" t="s">
        <v>412</v>
      </c>
      <c r="E295" t="s">
        <v>59</v>
      </c>
      <c r="F295" t="s">
        <v>657</v>
      </c>
      <c r="G295" t="s">
        <v>673</v>
      </c>
      <c r="H295" t="s">
        <v>12</v>
      </c>
      <c r="I295">
        <v>34</v>
      </c>
      <c r="J295" s="1">
        <v>45566</v>
      </c>
      <c r="L295" t="str">
        <f>IF($B295="","",IFERROR(_xlfn.XLOOKUP(_xlfn.TEXTJOIN(" ",TRUE,_xlfn._xlws.SORT(_xlfn.TEXTSPLIT(TRIM(UPPER($B295))," ",,TRUE),1,1,TRUE)),puestos!$C$2:$C$324,puestos!$B$2:$B$324),"SIN PUESTO"))</f>
        <v>COORDINADOR IT</v>
      </c>
    </row>
    <row r="296" spans="1:12" x14ac:dyDescent="0.35">
      <c r="A296">
        <v>10005224</v>
      </c>
      <c r="B296" t="s">
        <v>92</v>
      </c>
      <c r="C296" t="s">
        <v>728</v>
      </c>
      <c r="D296" t="s">
        <v>413</v>
      </c>
      <c r="E296" t="s">
        <v>157</v>
      </c>
      <c r="F296" t="s">
        <v>657</v>
      </c>
      <c r="G296" t="s">
        <v>677</v>
      </c>
      <c r="H296" t="s">
        <v>12</v>
      </c>
      <c r="I296">
        <v>31</v>
      </c>
      <c r="J296" s="1">
        <v>45586</v>
      </c>
      <c r="L296" t="str">
        <f>IF($B296="","",IFERROR(_xlfn.XLOOKUP(_xlfn.TEXTJOIN(" ",TRUE,_xlfn._xlws.SORT(_xlfn.TEXTSPLIT(TRIM(UPPER($B296))," ",,TRUE),1,1,TRUE)),puestos!$C$2:$C$324,puestos!$B$2:$B$324),"SIN PUESTO"))</f>
        <v>ANALISTA CUENTAS POR PAGAR</v>
      </c>
    </row>
    <row r="297" spans="1:12" x14ac:dyDescent="0.35">
      <c r="A297">
        <v>10005229</v>
      </c>
      <c r="B297" t="s">
        <v>93</v>
      </c>
      <c r="C297" t="s">
        <v>729</v>
      </c>
      <c r="D297" t="s">
        <v>414</v>
      </c>
      <c r="E297" t="s">
        <v>102</v>
      </c>
      <c r="F297" t="s">
        <v>656</v>
      </c>
      <c r="G297" t="s">
        <v>656</v>
      </c>
      <c r="H297" t="s">
        <v>12</v>
      </c>
      <c r="I297">
        <v>19</v>
      </c>
      <c r="J297" s="1">
        <v>45600</v>
      </c>
      <c r="L297" t="str">
        <f>IF($B297="","",IFERROR(_xlfn.XLOOKUP(_xlfn.TEXTJOIN(" ",TRUE,_xlfn._xlws.SORT(_xlfn.TEXTSPLIT(TRIM(UPPER($B297))," ",,TRUE),1,1,TRUE)),puestos!$C$2:$C$324,puestos!$B$2:$B$324),"SIN PUESTO"))</f>
        <v>CPFR</v>
      </c>
    </row>
    <row r="298" spans="1:12" x14ac:dyDescent="0.35">
      <c r="A298">
        <v>10005244</v>
      </c>
      <c r="B298" t="s">
        <v>94</v>
      </c>
      <c r="C298" t="s">
        <v>730</v>
      </c>
      <c r="D298" t="s">
        <v>415</v>
      </c>
      <c r="E298" t="s">
        <v>159</v>
      </c>
      <c r="F298" t="s">
        <v>656</v>
      </c>
      <c r="G298" t="s">
        <v>666</v>
      </c>
      <c r="H298" t="s">
        <v>12</v>
      </c>
      <c r="I298">
        <v>29</v>
      </c>
      <c r="J298" s="1">
        <v>45618</v>
      </c>
      <c r="L298" t="str">
        <f>IF($B298="","",IFERROR(_xlfn.XLOOKUP(_xlfn.TEXTJOIN(" ",TRUE,_xlfn._xlws.SORT(_xlfn.TEXTSPLIT(TRIM(UPPER($B298))," ",,TRUE),1,1,TRUE)),puestos!$C$2:$C$324,puestos!$B$2:$B$324),"SIN PUESTO"))</f>
        <v>SUPERVISOR TRADE MARKETING</v>
      </c>
    </row>
    <row r="299" spans="1:12" x14ac:dyDescent="0.35">
      <c r="A299">
        <v>10005248</v>
      </c>
      <c r="B299" t="s">
        <v>95</v>
      </c>
      <c r="C299" t="s">
        <v>731</v>
      </c>
      <c r="D299" t="s">
        <v>416</v>
      </c>
      <c r="E299" t="s">
        <v>62</v>
      </c>
      <c r="F299" t="s">
        <v>657</v>
      </c>
      <c r="G299" t="s">
        <v>675</v>
      </c>
      <c r="H299" t="s">
        <v>12</v>
      </c>
      <c r="I299">
        <v>86</v>
      </c>
      <c r="J299" s="1">
        <v>45628</v>
      </c>
      <c r="L299" t="str">
        <f>IF($B299="","",IFERROR(_xlfn.XLOOKUP(_xlfn.TEXTJOIN(" ",TRUE,_xlfn._xlws.SORT(_xlfn.TEXTSPLIT(TRIM(UPPER($B299))," ",,TRUE),1,1,TRUE)),puestos!$C$2:$C$324,puestos!$B$2:$B$324),"SIN PUESTO"))</f>
        <v>COORDINADOR CONTABLE</v>
      </c>
    </row>
    <row r="300" spans="1:12" x14ac:dyDescent="0.35">
      <c r="A300">
        <v>10005251</v>
      </c>
      <c r="B300" t="s">
        <v>96</v>
      </c>
      <c r="D300" t="s">
        <v>417</v>
      </c>
      <c r="E300" t="s">
        <v>186</v>
      </c>
      <c r="F300" t="s">
        <v>656</v>
      </c>
      <c r="G300" t="s">
        <v>669</v>
      </c>
      <c r="H300" t="s">
        <v>823</v>
      </c>
      <c r="I300">
        <v>31</v>
      </c>
      <c r="J300" s="1">
        <v>43619</v>
      </c>
      <c r="L300" t="str">
        <f>IF($B300="","",IFERROR(_xlfn.XLOOKUP(_xlfn.TEXTJOIN(" ",TRUE,_xlfn._xlws.SORT(_xlfn.TEXTSPLIT(TRIM(UPPER($B300))," ",,TRUE),1,1,TRUE)),puestos!$C$2:$C$324,puestos!$B$2:$B$324),"SIN PUESTO"))</f>
        <v>TÉCNICO DE SERVICIO</v>
      </c>
    </row>
    <row r="301" spans="1:12" x14ac:dyDescent="0.35">
      <c r="A301">
        <v>10005253</v>
      </c>
      <c r="B301" t="s">
        <v>97</v>
      </c>
      <c r="C301" t="s">
        <v>732</v>
      </c>
      <c r="D301" t="s">
        <v>418</v>
      </c>
      <c r="E301" t="s">
        <v>159</v>
      </c>
      <c r="F301" t="s">
        <v>656</v>
      </c>
      <c r="G301" t="s">
        <v>666</v>
      </c>
      <c r="H301" t="s">
        <v>12</v>
      </c>
      <c r="I301">
        <v>68</v>
      </c>
      <c r="J301" s="1">
        <v>43374</v>
      </c>
      <c r="L301" t="str">
        <f>IF($B301="","",IFERROR(_xlfn.XLOOKUP(_xlfn.TEXTJOIN(" ",TRUE,_xlfn._xlws.SORT(_xlfn.TEXTSPLIT(TRIM(UPPER($B301))," ",,TRUE),1,1,TRUE)),puestos!$C$2:$C$324,puestos!$B$2:$B$324),"SIN PUESTO"))</f>
        <v>SUPERVISOR TRADE MARKETING</v>
      </c>
    </row>
    <row r="302" spans="1:12" x14ac:dyDescent="0.35">
      <c r="A302">
        <v>10005254</v>
      </c>
      <c r="B302" t="s">
        <v>98</v>
      </c>
      <c r="D302" t="s">
        <v>419</v>
      </c>
      <c r="E302" t="s">
        <v>115</v>
      </c>
      <c r="F302" t="s">
        <v>656</v>
      </c>
      <c r="G302" t="s">
        <v>666</v>
      </c>
      <c r="H302" t="s">
        <v>823</v>
      </c>
      <c r="I302">
        <v>12</v>
      </c>
      <c r="J302" s="1">
        <v>43389</v>
      </c>
      <c r="L302" t="str">
        <f>IF($B302="","",IFERROR(_xlfn.XLOOKUP(_xlfn.TEXTJOIN(" ",TRUE,_xlfn._xlws.SORT(_xlfn.TEXTSPLIT(TRIM(UPPER($B302))," ",,TRUE),1,1,TRUE)),puestos!$C$2:$C$324,puestos!$B$2:$B$324),"SIN PUESTO"))</f>
        <v>PROMOTOR DE VENTAS</v>
      </c>
    </row>
    <row r="303" spans="1:12" x14ac:dyDescent="0.35">
      <c r="A303">
        <v>10005258</v>
      </c>
      <c r="B303" t="s">
        <v>99</v>
      </c>
      <c r="C303" t="s">
        <v>733</v>
      </c>
      <c r="D303" t="s">
        <v>420</v>
      </c>
      <c r="E303" t="s">
        <v>159</v>
      </c>
      <c r="F303" t="s">
        <v>656</v>
      </c>
      <c r="G303" t="s">
        <v>666</v>
      </c>
      <c r="H303" t="s">
        <v>12</v>
      </c>
      <c r="I303">
        <v>12</v>
      </c>
      <c r="J303" s="1">
        <v>43420</v>
      </c>
      <c r="L303" t="str">
        <f>IF($B303="","",IFERROR(_xlfn.XLOOKUP(_xlfn.TEXTJOIN(" ",TRUE,_xlfn._xlws.SORT(_xlfn.TEXTSPLIT(TRIM(UPPER($B303))," ",,TRUE),1,1,TRUE)),puestos!$C$2:$C$324,puestos!$B$2:$B$324),"SIN PUESTO"))</f>
        <v>SUPERVISOR TRADE MARKETING</v>
      </c>
    </row>
    <row r="304" spans="1:12" x14ac:dyDescent="0.35">
      <c r="A304">
        <v>10005261</v>
      </c>
      <c r="B304" t="s">
        <v>100</v>
      </c>
      <c r="D304" t="s">
        <v>421</v>
      </c>
      <c r="E304" t="s">
        <v>49</v>
      </c>
      <c r="F304" t="s">
        <v>656</v>
      </c>
      <c r="G304" t="s">
        <v>666</v>
      </c>
      <c r="H304" t="s">
        <v>823</v>
      </c>
      <c r="I304">
        <v>5</v>
      </c>
      <c r="J304" s="1">
        <v>43420</v>
      </c>
      <c r="L304" t="str">
        <f>IF($B304="","",IFERROR(_xlfn.XLOOKUP(_xlfn.TEXTJOIN(" ",TRUE,_xlfn._xlws.SORT(_xlfn.TEXTSPLIT(TRIM(UPPER($B304))," ",,TRUE),1,1,TRUE)),puestos!$C$2:$C$324,puestos!$B$2:$B$324),"SIN PUESTO"))</f>
        <v>PROMOTOR DE VENTAS</v>
      </c>
    </row>
    <row r="305" spans="1:12" x14ac:dyDescent="0.35">
      <c r="A305">
        <v>10005264</v>
      </c>
      <c r="B305" t="s">
        <v>101</v>
      </c>
      <c r="D305" t="s">
        <v>422</v>
      </c>
      <c r="E305" t="s">
        <v>99</v>
      </c>
      <c r="F305" t="s">
        <v>656</v>
      </c>
      <c r="G305" t="s">
        <v>666</v>
      </c>
      <c r="H305" t="s">
        <v>823</v>
      </c>
      <c r="I305">
        <v>11</v>
      </c>
      <c r="J305" s="1">
        <v>43613</v>
      </c>
      <c r="L305" t="str">
        <f>IF($B305="","",IFERROR(_xlfn.XLOOKUP(_xlfn.TEXTJOIN(" ",TRUE,_xlfn._xlws.SORT(_xlfn.TEXTSPLIT(TRIM(UPPER($B305))," ",,TRUE),1,1,TRUE)),puestos!$C$2:$C$324,puestos!$B$2:$B$324),"SIN PUESTO"))</f>
        <v>PROMOTOR DE VENTAS</v>
      </c>
    </row>
    <row r="306" spans="1:12" x14ac:dyDescent="0.35">
      <c r="A306">
        <v>10005267</v>
      </c>
      <c r="B306" t="s">
        <v>102</v>
      </c>
      <c r="C306" t="s">
        <v>734</v>
      </c>
      <c r="D306" t="s">
        <v>423</v>
      </c>
      <c r="E306" t="s">
        <v>133</v>
      </c>
      <c r="F306" t="s">
        <v>656</v>
      </c>
      <c r="G306" t="s">
        <v>666</v>
      </c>
      <c r="H306" t="s">
        <v>12</v>
      </c>
      <c r="I306">
        <v>7</v>
      </c>
      <c r="J306" s="1">
        <v>43381</v>
      </c>
      <c r="L306" t="str">
        <f>IF($B306="","",IFERROR(_xlfn.XLOOKUP(_xlfn.TEXTJOIN(" ",TRUE,_xlfn._xlws.SORT(_xlfn.TEXTSPLIT(TRIM(UPPER($B306))," ",,TRUE),1,1,TRUE)),puestos!$C$2:$C$324,puestos!$B$2:$B$324),"SIN PUESTO"))</f>
        <v>KAM NORTE</v>
      </c>
    </row>
    <row r="307" spans="1:12" x14ac:dyDescent="0.35">
      <c r="A307">
        <v>10005270</v>
      </c>
      <c r="B307" t="s">
        <v>103</v>
      </c>
      <c r="C307" t="s">
        <v>735</v>
      </c>
      <c r="D307" t="s">
        <v>424</v>
      </c>
      <c r="E307" t="s">
        <v>61</v>
      </c>
      <c r="F307" t="s">
        <v>660</v>
      </c>
      <c r="G307" t="s">
        <v>674</v>
      </c>
      <c r="H307" t="s">
        <v>12</v>
      </c>
      <c r="I307">
        <v>12</v>
      </c>
      <c r="J307" s="1">
        <v>44043</v>
      </c>
      <c r="L307" t="str">
        <f>IF($B307="","",IFERROR(_xlfn.XLOOKUP(_xlfn.TEXTJOIN(" ",TRUE,_xlfn._xlws.SORT(_xlfn.TEXTSPLIT(TRIM(UPPER($B307))," ",,TRUE),1,1,TRUE)),puestos!$C$2:$C$324,puestos!$B$2:$B$324),"SIN PUESTO"))</f>
        <v>ANALISTA R&amp;D</v>
      </c>
    </row>
    <row r="308" spans="1:12" x14ac:dyDescent="0.35">
      <c r="A308">
        <v>10005271</v>
      </c>
      <c r="B308" t="s">
        <v>104</v>
      </c>
      <c r="C308" t="s">
        <v>736</v>
      </c>
      <c r="D308" t="s">
        <v>425</v>
      </c>
      <c r="E308" t="s">
        <v>174</v>
      </c>
      <c r="F308" t="s">
        <v>658</v>
      </c>
      <c r="G308" t="s">
        <v>668</v>
      </c>
      <c r="H308" t="s">
        <v>12</v>
      </c>
      <c r="I308">
        <v>12</v>
      </c>
      <c r="J308" s="1">
        <v>42044</v>
      </c>
      <c r="L308" t="str">
        <f>IF($B308="","",IFERROR(_xlfn.XLOOKUP(_xlfn.TEXTJOIN(" ",TRUE,_xlfn._xlws.SORT(_xlfn.TEXTSPLIT(TRIM(UPPER($B308))," ",,TRUE),1,1,TRUE)),puestos!$C$2:$C$324,puestos!$B$2:$B$324),"SIN PUESTO"))</f>
        <v>JEFE DE LOGISTICA</v>
      </c>
    </row>
    <row r="309" spans="1:12" x14ac:dyDescent="0.35">
      <c r="A309">
        <v>10005274</v>
      </c>
      <c r="B309" t="s">
        <v>105</v>
      </c>
      <c r="C309" t="s">
        <v>737</v>
      </c>
      <c r="D309" t="s">
        <v>426</v>
      </c>
      <c r="E309" t="s">
        <v>174</v>
      </c>
      <c r="F309" t="s">
        <v>658</v>
      </c>
      <c r="G309" t="s">
        <v>668</v>
      </c>
      <c r="H309" t="s">
        <v>12</v>
      </c>
      <c r="I309">
        <v>12</v>
      </c>
      <c r="J309" s="1">
        <v>45705</v>
      </c>
      <c r="L309" t="str">
        <f>IF($B309="","",IFERROR(_xlfn.XLOOKUP(_xlfn.TEXTJOIN(" ",TRUE,_xlfn._xlws.SORT(_xlfn.TEXTSPLIT(TRIM(UPPER($B309))," ",,TRUE),1,1,TRUE)),puestos!$C$2:$C$324,puestos!$B$2:$B$324),"SIN PUESTO"))</f>
        <v>COORDINADOR DE INVENTARIOS</v>
      </c>
    </row>
    <row r="310" spans="1:12" x14ac:dyDescent="0.35">
      <c r="A310">
        <v>10005280</v>
      </c>
      <c r="B310" t="s">
        <v>106</v>
      </c>
      <c r="D310" t="s">
        <v>427</v>
      </c>
      <c r="E310" t="s">
        <v>49</v>
      </c>
      <c r="F310" t="s">
        <v>656</v>
      </c>
      <c r="G310" t="s">
        <v>666</v>
      </c>
      <c r="H310" t="s">
        <v>823</v>
      </c>
      <c r="J310" s="1">
        <v>45719</v>
      </c>
      <c r="L310" t="str">
        <f>IF($B310="","",IFERROR(_xlfn.XLOOKUP(_xlfn.TEXTJOIN(" ",TRUE,_xlfn._xlws.SORT(_xlfn.TEXTSPLIT(TRIM(UPPER($B310))," ",,TRUE),1,1,TRUE)),puestos!$C$2:$C$324,puestos!$B$2:$B$324),"SIN PUESTO"))</f>
        <v>PROMOTOR DE VENTAS</v>
      </c>
    </row>
    <row r="311" spans="1:12" x14ac:dyDescent="0.35">
      <c r="A311">
        <v>10005281</v>
      </c>
      <c r="B311" t="s">
        <v>107</v>
      </c>
      <c r="D311" t="s">
        <v>428</v>
      </c>
      <c r="E311" t="s">
        <v>94</v>
      </c>
      <c r="F311" t="s">
        <v>656</v>
      </c>
      <c r="G311" t="s">
        <v>666</v>
      </c>
      <c r="H311" t="s">
        <v>823</v>
      </c>
      <c r="J311" s="1">
        <v>45726</v>
      </c>
      <c r="L311" t="str">
        <f>IF($B311="","",IFERROR(_xlfn.XLOOKUP(_xlfn.TEXTJOIN(" ",TRUE,_xlfn._xlws.SORT(_xlfn.TEXTSPLIT(TRIM(UPPER($B311))," ",,TRUE),1,1,TRUE)),puestos!$C$2:$C$324,puestos!$B$2:$B$324),"SIN PUESTO"))</f>
        <v>PROMOTOR DE VENTAS</v>
      </c>
    </row>
    <row r="312" spans="1:12" x14ac:dyDescent="0.35">
      <c r="A312">
        <v>10005297</v>
      </c>
      <c r="B312" t="s">
        <v>108</v>
      </c>
      <c r="C312" t="s">
        <v>738</v>
      </c>
      <c r="D312" t="s">
        <v>429</v>
      </c>
      <c r="E312" t="s">
        <v>62</v>
      </c>
      <c r="F312" t="s">
        <v>657</v>
      </c>
      <c r="G312" t="s">
        <v>675</v>
      </c>
      <c r="H312" t="s">
        <v>12</v>
      </c>
      <c r="J312" s="1">
        <v>45762</v>
      </c>
      <c r="L312" t="str">
        <f>IF($B312="","",IFERROR(_xlfn.XLOOKUP(_xlfn.TEXTJOIN(" ",TRUE,_xlfn._xlws.SORT(_xlfn.TEXTSPLIT(TRIM(UPPER($B312))," ",,TRUE),1,1,TRUE)),puestos!$C$2:$C$324,puestos!$B$2:$B$324),"SIN PUESTO"))</f>
        <v>ANALISTA CONTABLE</v>
      </c>
    </row>
    <row r="313" spans="1:12" x14ac:dyDescent="0.35">
      <c r="A313">
        <v>10005505</v>
      </c>
      <c r="B313" t="s">
        <v>109</v>
      </c>
      <c r="C313" t="s">
        <v>739</v>
      </c>
      <c r="D313" t="s">
        <v>430</v>
      </c>
      <c r="E313" t="s">
        <v>201</v>
      </c>
      <c r="F313" t="s">
        <v>662</v>
      </c>
      <c r="G313" t="s">
        <v>662</v>
      </c>
      <c r="H313" t="s">
        <v>12</v>
      </c>
      <c r="J313" s="1">
        <v>45782</v>
      </c>
      <c r="L313" t="str">
        <f>IF($B313="","",IFERROR(_xlfn.XLOOKUP(_xlfn.TEXTJOIN(" ",TRUE,_xlfn._xlws.SORT(_xlfn.TEXTSPLIT(TRIM(UPPER($B313))," ",,TRUE),1,1,TRUE)),puestos!$C$2:$C$324,puestos!$B$2:$B$324),"SIN PUESTO"))</f>
        <v>GERENTE DE COMPRAS CAFÉ</v>
      </c>
    </row>
    <row r="314" spans="1:12" x14ac:dyDescent="0.35">
      <c r="A314">
        <v>10005508</v>
      </c>
      <c r="B314" t="s">
        <v>110</v>
      </c>
      <c r="D314" t="s">
        <v>431</v>
      </c>
      <c r="E314" t="s">
        <v>115</v>
      </c>
      <c r="F314" t="s">
        <v>656</v>
      </c>
      <c r="G314" t="s">
        <v>666</v>
      </c>
      <c r="H314" t="s">
        <v>823</v>
      </c>
      <c r="J314" s="1">
        <v>45796</v>
      </c>
      <c r="L314" t="str">
        <f>IF($B314="","",IFERROR(_xlfn.XLOOKUP(_xlfn.TEXTJOIN(" ",TRUE,_xlfn._xlws.SORT(_xlfn.TEXTSPLIT(TRIM(UPPER($B314))," ",,TRUE),1,1,TRUE)),puestos!$C$2:$C$324,puestos!$B$2:$B$324),"SIN PUESTO"))</f>
        <v>PROMOTOR DE VENTAS</v>
      </c>
    </row>
    <row r="315" spans="1:12" x14ac:dyDescent="0.35">
      <c r="A315">
        <v>10005516</v>
      </c>
      <c r="B315" t="s">
        <v>111</v>
      </c>
      <c r="C315" t="s">
        <v>740</v>
      </c>
      <c r="D315" t="s">
        <v>432</v>
      </c>
      <c r="E315" t="s">
        <v>192</v>
      </c>
      <c r="F315" t="s">
        <v>657</v>
      </c>
      <c r="G315" t="s">
        <v>657</v>
      </c>
      <c r="H315" t="s">
        <v>12</v>
      </c>
      <c r="J315" s="1">
        <v>45817</v>
      </c>
      <c r="L315" t="str">
        <f>IF($B315="","",IFERROR(_xlfn.XLOOKUP(_xlfn.TEXTJOIN(" ",TRUE,_xlfn._xlws.SORT(_xlfn.TEXTSPLIT(TRIM(UPPER($B315))," ",,TRUE),1,1,TRUE)),puestos!$C$2:$C$324,puestos!$B$2:$B$324),"SIN PUESTO"))</f>
        <v>JEFE DE PLANEACION FINANCIERA</v>
      </c>
    </row>
    <row r="316" spans="1:12" x14ac:dyDescent="0.35">
      <c r="A316">
        <v>10005539</v>
      </c>
      <c r="B316" t="s">
        <v>112</v>
      </c>
      <c r="C316" t="s">
        <v>741</v>
      </c>
      <c r="D316" t="s">
        <v>433</v>
      </c>
      <c r="E316" t="s">
        <v>62</v>
      </c>
      <c r="F316" t="s">
        <v>657</v>
      </c>
      <c r="G316" t="s">
        <v>675</v>
      </c>
      <c r="H316" t="s">
        <v>12</v>
      </c>
      <c r="J316" s="1">
        <v>45950</v>
      </c>
      <c r="L316" t="str">
        <f>IF($B316="","",IFERROR(_xlfn.XLOOKUP(_xlfn.TEXTJOIN(" ",TRUE,_xlfn._xlws.SORT(_xlfn.TEXTSPLIT(TRIM(UPPER($B316))," ",,TRUE),1,1,TRUE)),puestos!$C$2:$C$324,puestos!$B$2:$B$324),"SIN PUESTO"))</f>
        <v>ANALISTA CONTABLE</v>
      </c>
    </row>
    <row r="317" spans="1:12" x14ac:dyDescent="0.35">
      <c r="A317">
        <v>10005558</v>
      </c>
      <c r="B317" t="s">
        <v>113</v>
      </c>
      <c r="D317" t="s">
        <v>434</v>
      </c>
      <c r="E317" t="s">
        <v>97</v>
      </c>
      <c r="F317" t="s">
        <v>656</v>
      </c>
      <c r="G317" t="s">
        <v>656</v>
      </c>
      <c r="H317" t="s">
        <v>823</v>
      </c>
      <c r="J317" s="1">
        <v>46149</v>
      </c>
      <c r="L317" t="str">
        <f>IF($B317="","",IFERROR(_xlfn.XLOOKUP(_xlfn.TEXTJOIN(" ",TRUE,_xlfn._xlws.SORT(_xlfn.TEXTSPLIT(TRIM(UPPER($B317))," ",,TRUE),1,1,TRUE)),puestos!$C$2:$C$324,puestos!$B$2:$B$324),"SIN PUESTO"))</f>
        <v>PROMOTOR</v>
      </c>
    </row>
    <row r="318" spans="1:12" x14ac:dyDescent="0.35">
      <c r="A318">
        <v>10005559</v>
      </c>
      <c r="B318" t="s">
        <v>114</v>
      </c>
      <c r="D318" t="s">
        <v>435</v>
      </c>
      <c r="E318" t="s">
        <v>49</v>
      </c>
      <c r="F318" t="s">
        <v>656</v>
      </c>
      <c r="G318" t="s">
        <v>666</v>
      </c>
      <c r="H318" t="s">
        <v>823</v>
      </c>
      <c r="J318" s="1">
        <v>46174</v>
      </c>
      <c r="L318" t="str">
        <f>IF($B318="","",IFERROR(_xlfn.XLOOKUP(_xlfn.TEXTJOIN(" ",TRUE,_xlfn._xlws.SORT(_xlfn.TEXTSPLIT(TRIM(UPPER($B318))," ",,TRUE),1,1,TRUE)),puestos!$C$2:$C$324,puestos!$B$2:$B$324),"SIN PUESTO"))</f>
        <v>PROMOTOR</v>
      </c>
    </row>
    <row r="319" spans="1:12" x14ac:dyDescent="0.35">
      <c r="A319">
        <v>10005565</v>
      </c>
      <c r="B319" t="s">
        <v>115</v>
      </c>
      <c r="D319" t="s">
        <v>436</v>
      </c>
      <c r="E319" t="s">
        <v>159</v>
      </c>
      <c r="F319" t="s">
        <v>656</v>
      </c>
      <c r="G319" t="s">
        <v>666</v>
      </c>
      <c r="H319" t="s">
        <v>823</v>
      </c>
      <c r="J319" s="1" t="s">
        <v>1006</v>
      </c>
      <c r="L319" t="str">
        <f>IF($B319="","",IFERROR(_xlfn.XLOOKUP(_xlfn.TEXTJOIN(" ",TRUE,_xlfn._xlws.SORT(_xlfn.TEXTSPLIT(TRIM(UPPER($B319))," ",,TRUE),1,1,TRUE)),puestos!$C$2:$C$324,puestos!$B$2:$B$324),"SIN PUESTO"))</f>
        <v>PROMOTOR DE VENTAS</v>
      </c>
    </row>
    <row r="320" spans="1:12" x14ac:dyDescent="0.35">
      <c r="A320">
        <v>10005569</v>
      </c>
      <c r="B320" t="s">
        <v>116</v>
      </c>
      <c r="D320" t="s">
        <v>437</v>
      </c>
      <c r="E320" t="s">
        <v>99</v>
      </c>
      <c r="F320" t="s">
        <v>656</v>
      </c>
      <c r="G320" t="s">
        <v>666</v>
      </c>
      <c r="H320" t="s">
        <v>823</v>
      </c>
      <c r="J320" s="1" t="s">
        <v>1007</v>
      </c>
      <c r="L320" t="str">
        <f>IF($B320="","",IFERROR(_xlfn.XLOOKUP(_xlfn.TEXTJOIN(" ",TRUE,_xlfn._xlws.SORT(_xlfn.TEXTSPLIT(TRIM(UPPER($B320))," ",,TRUE),1,1,TRUE)),puestos!$C$2:$C$324,puestos!$B$2:$B$324),"SIN PUESTO"))</f>
        <v>PROMOTOR DE VENTAS</v>
      </c>
    </row>
    <row r="321" spans="1:12" x14ac:dyDescent="0.35">
      <c r="A321">
        <v>11000673</v>
      </c>
      <c r="B321" t="s">
        <v>333</v>
      </c>
      <c r="C321" t="s">
        <v>822</v>
      </c>
      <c r="D321" t="s">
        <v>392</v>
      </c>
      <c r="E321" t="s">
        <v>201</v>
      </c>
      <c r="F321" t="s">
        <v>659</v>
      </c>
      <c r="G321" t="s">
        <v>659</v>
      </c>
      <c r="H321" t="s">
        <v>12</v>
      </c>
      <c r="J321" s="1">
        <v>45033</v>
      </c>
      <c r="K321" t="s">
        <v>1008</v>
      </c>
      <c r="L321" t="str">
        <f>IF($B321="","",IFERROR(_xlfn.XLOOKUP(_xlfn.TEXTJOIN(" ",TRUE,_xlfn._xlws.SORT(_xlfn.TEXTSPLIT(TRIM(UPPER($B321))," ",,TRUE),1,1,TRUE)),puestos!$C$2:$C$324,puestos!$B$2:$B$324),"SIN PUESTO"))</f>
        <v>GERENTE DE G&amp;G</v>
      </c>
    </row>
    <row r="322" spans="1:12" x14ac:dyDescent="0.35">
      <c r="A322">
        <v>11000987</v>
      </c>
      <c r="B322" t="s">
        <v>332</v>
      </c>
      <c r="C322" t="s">
        <v>821</v>
      </c>
      <c r="D322" t="s">
        <v>392</v>
      </c>
      <c r="E322" t="s">
        <v>201</v>
      </c>
      <c r="F322" t="s">
        <v>661</v>
      </c>
      <c r="G322" t="s">
        <v>678</v>
      </c>
      <c r="H322" t="s">
        <v>12</v>
      </c>
      <c r="J322" s="1">
        <v>45033</v>
      </c>
      <c r="L322" t="str">
        <f>IF($B322="","",IFERROR(_xlfn.XLOOKUP(_xlfn.TEXTJOIN(" ",TRUE,_xlfn._xlws.SORT(_xlfn.TEXTSPLIT(TRIM(UPPER($B322))," ",,TRUE),1,1,TRUE)),puestos!$C$2:$C$324,puestos!$B$2:$B$324),"SIN PUESTO"))</f>
        <v>GERENTE DE REVENUE / BI</v>
      </c>
    </row>
  </sheetData>
  <autoFilter ref="A1:K322" xr:uid="{00000000-0001-0000-0000-000000000000}">
    <sortState xmlns:xlrd2="http://schemas.microsoft.com/office/spreadsheetml/2017/richdata2" ref="A2:K322">
      <sortCondition ref="A1:A322"/>
    </sortState>
  </autoFilter>
  <sortState xmlns:xlrd2="http://schemas.microsoft.com/office/spreadsheetml/2017/richdata2" ref="A2:K322">
    <sortCondition ref="C1:C322"/>
  </sortState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E2E6-C2C2-45A5-BB8E-0480F15E6789}">
  <dimension ref="A1:C324"/>
  <sheetViews>
    <sheetView workbookViewId="0">
      <selection activeCell="C9" sqref="C9"/>
    </sheetView>
  </sheetViews>
  <sheetFormatPr baseColWidth="10" defaultRowHeight="15.5" x14ac:dyDescent="0.35"/>
  <cols>
    <col min="1" max="1" width="30.58203125" customWidth="1"/>
    <col min="2" max="2" width="32.25" customWidth="1"/>
  </cols>
  <sheetData>
    <row r="1" spans="1:3" ht="23" x14ac:dyDescent="0.35">
      <c r="A1" s="2" t="s">
        <v>1009</v>
      </c>
      <c r="B1" s="3" t="s">
        <v>1010</v>
      </c>
      <c r="C1" t="s">
        <v>1445</v>
      </c>
    </row>
    <row r="2" spans="1:3" x14ac:dyDescent="0.35">
      <c r="A2" s="4" t="s">
        <v>1011</v>
      </c>
      <c r="B2" s="4" t="s">
        <v>1012</v>
      </c>
      <c r="C2" t="str">
        <f>IF(A2="","",_xlfn.TEXTJOIN(" ",TRUE,_xlfn._xlws.SORT(_xlfn.TEXTSPLIT(TRIM(UPPER(A2))," ",,TRUE),1,1,TRUE)))</f>
        <v>ALONSO AUGUSTO GUTIERREZ VITE</v>
      </c>
    </row>
    <row r="3" spans="1:3" x14ac:dyDescent="0.35">
      <c r="A3" s="4" t="s">
        <v>1013</v>
      </c>
      <c r="B3" s="4" t="s">
        <v>1014</v>
      </c>
      <c r="C3" t="str">
        <f t="shared" ref="C3:C66" si="0">IF(A3="","",_xlfn.TEXTJOIN(" ",TRUE,_xlfn._xlws.SORT(_xlfn.TEXTSPLIT(TRIM(UPPER(A3))," ",,TRUE),1,1,TRUE)))</f>
        <v>ALEJANDRO CRUZ HERRERA</v>
      </c>
    </row>
    <row r="4" spans="1:3" x14ac:dyDescent="0.35">
      <c r="A4" s="4" t="s">
        <v>1015</v>
      </c>
      <c r="B4" s="4" t="s">
        <v>1014</v>
      </c>
      <c r="C4" t="str">
        <f t="shared" si="0"/>
        <v>EMANUEL GOMEZ REYES RICARDO</v>
      </c>
    </row>
    <row r="5" spans="1:3" x14ac:dyDescent="0.35">
      <c r="A5" s="4" t="s">
        <v>1016</v>
      </c>
      <c r="B5" s="4" t="s">
        <v>1017</v>
      </c>
      <c r="C5" t="str">
        <f t="shared" si="0"/>
        <v>ELIZABETH LOPEZ PALLARES</v>
      </c>
    </row>
    <row r="6" spans="1:3" x14ac:dyDescent="0.35">
      <c r="A6" s="4" t="s">
        <v>1018</v>
      </c>
      <c r="B6" s="4" t="s">
        <v>1019</v>
      </c>
      <c r="C6" t="str">
        <f t="shared" si="0"/>
        <v>ESCALONA MEXICA NANCY</v>
      </c>
    </row>
    <row r="7" spans="1:3" x14ac:dyDescent="0.35">
      <c r="A7" s="4" t="s">
        <v>1020</v>
      </c>
      <c r="B7" s="4" t="s">
        <v>1021</v>
      </c>
      <c r="C7" t="str">
        <f t="shared" si="0"/>
        <v>ANTONIO JIMENEZ JORGE UGALDE</v>
      </c>
    </row>
    <row r="8" spans="1:3" x14ac:dyDescent="0.35">
      <c r="A8" s="4" t="s">
        <v>1022</v>
      </c>
      <c r="B8" s="4" t="s">
        <v>1023</v>
      </c>
      <c r="C8" t="str">
        <f t="shared" si="0"/>
        <v>CAZAREZ CORTES FELIPE</v>
      </c>
    </row>
    <row r="9" spans="1:3" x14ac:dyDescent="0.35">
      <c r="A9" s="4" t="s">
        <v>1024</v>
      </c>
      <c r="B9" s="4" t="s">
        <v>1025</v>
      </c>
      <c r="C9" t="str">
        <f t="shared" si="0"/>
        <v>ARTURO SANTIAGO SILVA</v>
      </c>
    </row>
    <row r="10" spans="1:3" x14ac:dyDescent="0.35">
      <c r="A10" s="4" t="s">
        <v>1026</v>
      </c>
      <c r="B10" s="4" t="s">
        <v>1027</v>
      </c>
      <c r="C10" t="str">
        <f t="shared" si="0"/>
        <v>HIDROGO LOPEZ PAULA</v>
      </c>
    </row>
    <row r="11" spans="1:3" x14ac:dyDescent="0.35">
      <c r="A11" s="4" t="s">
        <v>1028</v>
      </c>
      <c r="B11" s="4" t="s">
        <v>1029</v>
      </c>
      <c r="C11" t="str">
        <f t="shared" si="0"/>
        <v>EDUARDO LOPEZ MAURICIO VALENZUELA</v>
      </c>
    </row>
    <row r="12" spans="1:3" x14ac:dyDescent="0.35">
      <c r="A12" s="4" t="s">
        <v>1030</v>
      </c>
      <c r="B12" s="4" t="s">
        <v>1031</v>
      </c>
      <c r="C12" t="str">
        <f t="shared" si="0"/>
        <v>CRUZ FERNANDO MEDINA</v>
      </c>
    </row>
    <row r="13" spans="1:3" x14ac:dyDescent="0.35">
      <c r="A13" s="4" t="s">
        <v>1032</v>
      </c>
      <c r="B13" s="4" t="s">
        <v>1031</v>
      </c>
      <c r="C13" t="str">
        <f t="shared" si="0"/>
        <v>ALAMILLA LOPEZ MARGARITA</v>
      </c>
    </row>
    <row r="14" spans="1:3" x14ac:dyDescent="0.35">
      <c r="A14" s="4" t="s">
        <v>1033</v>
      </c>
      <c r="B14" s="4" t="s">
        <v>1031</v>
      </c>
      <c r="C14" t="str">
        <f t="shared" si="0"/>
        <v>CITUK MANUEL MUÑOZ ULISES</v>
      </c>
    </row>
    <row r="15" spans="1:3" x14ac:dyDescent="0.35">
      <c r="A15" s="4" t="s">
        <v>1034</v>
      </c>
      <c r="B15" s="4" t="s">
        <v>1031</v>
      </c>
      <c r="C15" t="str">
        <f t="shared" si="0"/>
        <v>CAROLINA DELGADO YAÑEZ</v>
      </c>
    </row>
    <row r="16" spans="1:3" x14ac:dyDescent="0.35">
      <c r="A16" s="4" t="s">
        <v>1035</v>
      </c>
      <c r="B16" s="4" t="s">
        <v>1031</v>
      </c>
      <c r="C16" t="str">
        <f t="shared" si="0"/>
        <v>CRUZ LISVETHE RUIZ VERONICA</v>
      </c>
    </row>
    <row r="17" spans="1:3" x14ac:dyDescent="0.35">
      <c r="A17" s="4" t="s">
        <v>1036</v>
      </c>
      <c r="B17" s="4" t="s">
        <v>1031</v>
      </c>
      <c r="C17" t="str">
        <f t="shared" si="0"/>
        <v>JOSE LUIS MAYA TORALES</v>
      </c>
    </row>
    <row r="18" spans="1:3" x14ac:dyDescent="0.35">
      <c r="A18" s="4" t="s">
        <v>1037</v>
      </c>
      <c r="B18" s="4" t="s">
        <v>1031</v>
      </c>
      <c r="C18" t="str">
        <f t="shared" si="0"/>
        <v>MAGALI MORALES SANTIAGO</v>
      </c>
    </row>
    <row r="19" spans="1:3" x14ac:dyDescent="0.35">
      <c r="A19" s="4" t="s">
        <v>1038</v>
      </c>
      <c r="B19" s="4" t="s">
        <v>1031</v>
      </c>
      <c r="C19" t="str">
        <f t="shared" si="0"/>
        <v>DE GONZALEZ JESUS MARIA SERAFIN</v>
      </c>
    </row>
    <row r="20" spans="1:3" x14ac:dyDescent="0.35">
      <c r="A20" s="4" t="s">
        <v>1039</v>
      </c>
      <c r="B20" s="4" t="s">
        <v>1031</v>
      </c>
      <c r="C20" t="str">
        <f t="shared" si="0"/>
        <v>BIAIS GUADALUPE MARIA RODRIGUEZ</v>
      </c>
    </row>
    <row r="21" spans="1:3" x14ac:dyDescent="0.35">
      <c r="A21" s="4" t="s">
        <v>1040</v>
      </c>
      <c r="B21" s="4" t="s">
        <v>1031</v>
      </c>
      <c r="C21" t="str">
        <f t="shared" si="0"/>
        <v>MAVEL PEREZ VELAZQUEZ</v>
      </c>
    </row>
    <row r="22" spans="1:3" x14ac:dyDescent="0.35">
      <c r="A22" s="4" t="s">
        <v>1041</v>
      </c>
      <c r="B22" s="4" t="s">
        <v>1031</v>
      </c>
      <c r="C22" t="str">
        <f t="shared" si="0"/>
        <v>PALMA PATRICIA SANDRA SERRATO</v>
      </c>
    </row>
    <row r="23" spans="1:3" x14ac:dyDescent="0.35">
      <c r="A23" s="4" t="s">
        <v>1042</v>
      </c>
      <c r="B23" s="4" t="s">
        <v>1031</v>
      </c>
      <c r="C23" t="str">
        <f t="shared" si="0"/>
        <v>ARGUMEDO DE FATIMA ROSARIO SERRANO</v>
      </c>
    </row>
    <row r="24" spans="1:3" x14ac:dyDescent="0.35">
      <c r="A24" s="4" t="s">
        <v>1043</v>
      </c>
      <c r="B24" s="4" t="s">
        <v>1031</v>
      </c>
      <c r="C24" t="str">
        <f t="shared" si="0"/>
        <v>ADA BAUTISTA GARCIA VICTORIA</v>
      </c>
    </row>
    <row r="25" spans="1:3" x14ac:dyDescent="0.35">
      <c r="A25" s="4" t="s">
        <v>1044</v>
      </c>
      <c r="B25" s="4" t="s">
        <v>1031</v>
      </c>
      <c r="C25" t="str">
        <f t="shared" si="0"/>
        <v>GONZALEZ JACQUELINE PAJARO</v>
      </c>
    </row>
    <row r="26" spans="1:3" x14ac:dyDescent="0.35">
      <c r="A26" s="4" t="s">
        <v>1045</v>
      </c>
      <c r="B26" s="4" t="s">
        <v>1031</v>
      </c>
      <c r="C26" t="str">
        <f t="shared" si="0"/>
        <v>CAROLINA MARTINEZ PARRA</v>
      </c>
    </row>
    <row r="27" spans="1:3" x14ac:dyDescent="0.35">
      <c r="A27" s="4" t="s">
        <v>1046</v>
      </c>
      <c r="B27" s="4" t="s">
        <v>1031</v>
      </c>
      <c r="C27" t="str">
        <f t="shared" si="0"/>
        <v>ALEJANDRA CORONEL FATIMA RODRIGUEZ</v>
      </c>
    </row>
    <row r="28" spans="1:3" x14ac:dyDescent="0.35">
      <c r="A28" s="4" t="s">
        <v>1047</v>
      </c>
      <c r="B28" s="4" t="s">
        <v>1031</v>
      </c>
      <c r="C28" t="str">
        <f t="shared" si="0"/>
        <v>HERNANDEZ JOSEFINA ROJAS</v>
      </c>
    </row>
    <row r="29" spans="1:3" x14ac:dyDescent="0.35">
      <c r="A29" s="4" t="s">
        <v>1048</v>
      </c>
      <c r="B29" s="4" t="s">
        <v>1031</v>
      </c>
      <c r="C29" t="str">
        <f t="shared" si="0"/>
        <v>JUAN MANUEL MENDEZ PALACIOS</v>
      </c>
    </row>
    <row r="30" spans="1:3" x14ac:dyDescent="0.35">
      <c r="A30" s="4" t="s">
        <v>1049</v>
      </c>
      <c r="B30" s="4" t="s">
        <v>1031</v>
      </c>
      <c r="C30" t="str">
        <f t="shared" si="0"/>
        <v>CONCEPCION GALAN MARIA ZAMUDIO</v>
      </c>
    </row>
    <row r="31" spans="1:3" x14ac:dyDescent="0.35">
      <c r="A31" s="4" t="s">
        <v>1050</v>
      </c>
      <c r="B31" s="4" t="s">
        <v>1031</v>
      </c>
      <c r="C31" t="str">
        <f t="shared" si="0"/>
        <v>MARCELA PULIDO ROSAS</v>
      </c>
    </row>
    <row r="32" spans="1:3" x14ac:dyDescent="0.35">
      <c r="A32" s="4" t="s">
        <v>1051</v>
      </c>
      <c r="B32" s="4" t="s">
        <v>1031</v>
      </c>
      <c r="C32" t="str">
        <f t="shared" si="0"/>
        <v>CATHY CECILIA GARCIA JUAREZ</v>
      </c>
    </row>
    <row r="33" spans="1:3" x14ac:dyDescent="0.35">
      <c r="A33" s="4" t="s">
        <v>1052</v>
      </c>
      <c r="B33" s="4" t="s">
        <v>1031</v>
      </c>
      <c r="C33" t="str">
        <f t="shared" si="0"/>
        <v>CLAUDIA LARA RIVERA</v>
      </c>
    </row>
    <row r="34" spans="1:3" x14ac:dyDescent="0.35">
      <c r="A34" s="4" t="s">
        <v>1053</v>
      </c>
      <c r="B34" s="4" t="s">
        <v>1031</v>
      </c>
      <c r="C34" t="str">
        <f t="shared" si="0"/>
        <v>ANGEL GARCIA MIGUEL REYES</v>
      </c>
    </row>
    <row r="35" spans="1:3" x14ac:dyDescent="0.35">
      <c r="A35" s="4" t="s">
        <v>1054</v>
      </c>
      <c r="B35" s="4" t="s">
        <v>1031</v>
      </c>
      <c r="C35" t="str">
        <f t="shared" si="0"/>
        <v>CAMARGO DAVID RODRIGUEZ</v>
      </c>
    </row>
    <row r="36" spans="1:3" x14ac:dyDescent="0.35">
      <c r="A36" s="4" t="s">
        <v>1055</v>
      </c>
      <c r="B36" s="4" t="s">
        <v>1031</v>
      </c>
      <c r="C36" t="str">
        <f t="shared" si="0"/>
        <v>DAVILA LIRIO LOERA NANCY</v>
      </c>
    </row>
    <row r="37" spans="1:3" x14ac:dyDescent="0.35">
      <c r="A37" s="4" t="s">
        <v>1056</v>
      </c>
      <c r="B37" s="4" t="s">
        <v>1031</v>
      </c>
      <c r="C37" t="str">
        <f t="shared" si="0"/>
        <v>RUIZ SONIA ZERTUCHE</v>
      </c>
    </row>
    <row r="38" spans="1:3" x14ac:dyDescent="0.35">
      <c r="A38" s="4" t="s">
        <v>1057</v>
      </c>
      <c r="B38" s="4" t="s">
        <v>1031</v>
      </c>
      <c r="C38" t="str">
        <f t="shared" si="0"/>
        <v>BLANCA ESQUIVEL ESTHELA GARCIA</v>
      </c>
    </row>
    <row r="39" spans="1:3" x14ac:dyDescent="0.35">
      <c r="A39" s="4" t="s">
        <v>1058</v>
      </c>
      <c r="B39" s="4" t="s">
        <v>1031</v>
      </c>
      <c r="C39" t="str">
        <f t="shared" si="0"/>
        <v>CRUZ MARIBEL URBINA</v>
      </c>
    </row>
    <row r="40" spans="1:3" x14ac:dyDescent="0.35">
      <c r="A40" s="4" t="s">
        <v>1059</v>
      </c>
      <c r="B40" s="4" t="s">
        <v>1031</v>
      </c>
      <c r="C40" t="str">
        <f t="shared" si="0"/>
        <v>CORDOVA EUNICE SANCHEZ</v>
      </c>
    </row>
    <row r="41" spans="1:3" x14ac:dyDescent="0.35">
      <c r="A41" s="4" t="s">
        <v>1060</v>
      </c>
      <c r="B41" s="4" t="s">
        <v>1031</v>
      </c>
      <c r="C41" t="str">
        <f t="shared" si="0"/>
        <v>CASTRO CECILIA PATRICIA SANCHEZ</v>
      </c>
    </row>
    <row r="42" spans="1:3" x14ac:dyDescent="0.35">
      <c r="A42" s="4" t="s">
        <v>1061</v>
      </c>
      <c r="B42" s="4" t="s">
        <v>1031</v>
      </c>
      <c r="C42" t="str">
        <f t="shared" si="0"/>
        <v>ADILCIA ANA HERNANDEZ KONSTADUDAKIS</v>
      </c>
    </row>
    <row r="43" spans="1:3" x14ac:dyDescent="0.35">
      <c r="A43" s="4" t="s">
        <v>1062</v>
      </c>
      <c r="B43" s="4" t="s">
        <v>1031</v>
      </c>
      <c r="C43" t="str">
        <f t="shared" si="0"/>
        <v>ALEJANDRO CARLOS ESTRELLA KU</v>
      </c>
    </row>
    <row r="44" spans="1:3" x14ac:dyDescent="0.35">
      <c r="A44" s="4" t="s">
        <v>1063</v>
      </c>
      <c r="B44" s="4" t="s">
        <v>1031</v>
      </c>
      <c r="C44" t="str">
        <f t="shared" si="0"/>
        <v>CARRILLO FERNANDO OSVALDO PULIDO</v>
      </c>
    </row>
    <row r="45" spans="1:3" x14ac:dyDescent="0.35">
      <c r="A45" s="4" t="s">
        <v>1064</v>
      </c>
      <c r="B45" s="4" t="s">
        <v>1031</v>
      </c>
      <c r="C45" t="str">
        <f t="shared" si="0"/>
        <v>CASADOS HERNANDEZ LUIS MIGUEL</v>
      </c>
    </row>
    <row r="46" spans="1:3" x14ac:dyDescent="0.35">
      <c r="A46" s="4" t="s">
        <v>1065</v>
      </c>
      <c r="B46" s="4" t="s">
        <v>1031</v>
      </c>
      <c r="C46" t="str">
        <f t="shared" si="0"/>
        <v>OSORIO ROMERO SAMUEL</v>
      </c>
    </row>
    <row r="47" spans="1:3" x14ac:dyDescent="0.35">
      <c r="A47" s="4" t="s">
        <v>1066</v>
      </c>
      <c r="B47" s="4" t="s">
        <v>1031</v>
      </c>
      <c r="C47" t="str">
        <f t="shared" si="0"/>
        <v>BELLO DIAZ MA SARITA</v>
      </c>
    </row>
    <row r="48" spans="1:3" x14ac:dyDescent="0.35">
      <c r="A48" s="4" t="s">
        <v>1067</v>
      </c>
      <c r="B48" s="4" t="s">
        <v>1031</v>
      </c>
      <c r="C48" t="str">
        <f t="shared" si="0"/>
        <v>ANGUIANO BAUTISTA VERONICA</v>
      </c>
    </row>
    <row r="49" spans="1:3" x14ac:dyDescent="0.35">
      <c r="A49" s="4" t="s">
        <v>1068</v>
      </c>
      <c r="B49" s="4" t="s">
        <v>1031</v>
      </c>
      <c r="C49" t="str">
        <f t="shared" si="0"/>
        <v>OÑATE PEÑALOZA SONIA</v>
      </c>
    </row>
    <row r="50" spans="1:3" x14ac:dyDescent="0.35">
      <c r="A50" s="4" t="s">
        <v>1069</v>
      </c>
      <c r="B50" s="4" t="s">
        <v>1031</v>
      </c>
      <c r="C50" t="str">
        <f t="shared" si="0"/>
        <v>CALZADA CUAUHTEMOC PEREZ</v>
      </c>
    </row>
    <row r="51" spans="1:3" x14ac:dyDescent="0.35">
      <c r="A51" s="4" t="s">
        <v>1070</v>
      </c>
      <c r="B51" s="4" t="s">
        <v>1031</v>
      </c>
      <c r="C51" t="str">
        <f t="shared" si="0"/>
        <v>CARLOS JOSE SOTO VARGAS</v>
      </c>
    </row>
    <row r="52" spans="1:3" x14ac:dyDescent="0.35">
      <c r="A52" s="4" t="s">
        <v>1071</v>
      </c>
      <c r="B52" s="4" t="s">
        <v>1031</v>
      </c>
      <c r="C52" t="str">
        <f t="shared" si="0"/>
        <v>CRUZ DEL ISABEL MARIA MONTE</v>
      </c>
    </row>
    <row r="53" spans="1:3" x14ac:dyDescent="0.35">
      <c r="A53" s="4" t="s">
        <v>1072</v>
      </c>
      <c r="B53" s="4" t="s">
        <v>1031</v>
      </c>
      <c r="C53" t="str">
        <f t="shared" si="0"/>
        <v>DE LA LUZ MA ORTIZ RODRIGUEZ</v>
      </c>
    </row>
    <row r="54" spans="1:3" x14ac:dyDescent="0.35">
      <c r="A54" s="4" t="s">
        <v>1073</v>
      </c>
      <c r="B54" s="4" t="s">
        <v>1031</v>
      </c>
      <c r="C54" t="str">
        <f t="shared" si="0"/>
        <v>ANA IBARRA LOPEZ MARIA</v>
      </c>
    </row>
    <row r="55" spans="1:3" x14ac:dyDescent="0.35">
      <c r="A55" s="4" t="s">
        <v>1074</v>
      </c>
      <c r="B55" s="4" t="s">
        <v>1031</v>
      </c>
      <c r="C55" t="str">
        <f t="shared" si="0"/>
        <v>CARMEN DEL MARIA VARGAS ZUÑIGA</v>
      </c>
    </row>
    <row r="56" spans="1:3" x14ac:dyDescent="0.35">
      <c r="A56" s="4" t="s">
        <v>1075</v>
      </c>
      <c r="B56" s="4" t="s">
        <v>1031</v>
      </c>
      <c r="C56" t="str">
        <f t="shared" si="0"/>
        <v>ALEJANDRO ESTHELA LEONARDO MARIA</v>
      </c>
    </row>
    <row r="57" spans="1:3" x14ac:dyDescent="0.35">
      <c r="A57" s="4" t="s">
        <v>1076</v>
      </c>
      <c r="B57" s="4" t="s">
        <v>1031</v>
      </c>
      <c r="C57" t="str">
        <f t="shared" si="0"/>
        <v>CAPILLA CELIA RAMIREZ</v>
      </c>
    </row>
    <row r="58" spans="1:3" x14ac:dyDescent="0.35">
      <c r="A58" s="4" t="s">
        <v>1077</v>
      </c>
      <c r="B58" s="4" t="s">
        <v>1031</v>
      </c>
      <c r="C58" t="str">
        <f t="shared" si="0"/>
        <v>ESPINOZA ISABEL MALPICA SILVIA</v>
      </c>
    </row>
    <row r="59" spans="1:3" x14ac:dyDescent="0.35">
      <c r="A59" s="4" t="s">
        <v>1078</v>
      </c>
      <c r="B59" s="4" t="s">
        <v>1031</v>
      </c>
      <c r="C59" t="str">
        <f t="shared" si="0"/>
        <v>ELVIRA LISCANO VAZQUEZ</v>
      </c>
    </row>
    <row r="60" spans="1:3" x14ac:dyDescent="0.35">
      <c r="A60" s="4" t="s">
        <v>1079</v>
      </c>
      <c r="B60" s="4" t="s">
        <v>1031</v>
      </c>
      <c r="C60" t="str">
        <f t="shared" si="0"/>
        <v>ALCAZAR BALVANERA BARBARA ISABEL</v>
      </c>
    </row>
    <row r="61" spans="1:3" x14ac:dyDescent="0.35">
      <c r="A61" s="4" t="s">
        <v>1080</v>
      </c>
      <c r="B61" s="4" t="s">
        <v>1081</v>
      </c>
      <c r="C61" t="str">
        <f t="shared" si="0"/>
        <v>ADRIEL BALDERRAMA FRANCISCO TOVAR</v>
      </c>
    </row>
    <row r="62" spans="1:3" x14ac:dyDescent="0.35">
      <c r="A62" s="4" t="s">
        <v>1082</v>
      </c>
      <c r="B62" s="4" t="s">
        <v>1081</v>
      </c>
      <c r="C62" t="str">
        <f t="shared" si="0"/>
        <v>JAVIER PANTI PECH RICARDO</v>
      </c>
    </row>
    <row r="63" spans="1:3" x14ac:dyDescent="0.35">
      <c r="A63" s="4" t="s">
        <v>1083</v>
      </c>
      <c r="B63" s="4" t="s">
        <v>1081</v>
      </c>
      <c r="C63" t="str">
        <f t="shared" si="0"/>
        <v>AMAYA CLAUDIA MARGARITA PROA</v>
      </c>
    </row>
    <row r="64" spans="1:3" x14ac:dyDescent="0.35">
      <c r="A64" s="4" t="s">
        <v>1084</v>
      </c>
      <c r="B64" s="4" t="s">
        <v>1081</v>
      </c>
      <c r="C64" t="str">
        <f t="shared" si="0"/>
        <v>CERVANTES DORA ELIZABETH LUNA</v>
      </c>
    </row>
    <row r="65" spans="1:3" x14ac:dyDescent="0.35">
      <c r="A65" s="4" t="s">
        <v>1085</v>
      </c>
      <c r="B65" s="4" t="s">
        <v>1086</v>
      </c>
      <c r="C65" t="str">
        <f t="shared" si="0"/>
        <v>BENITEZ ENRIQUE GUERRERO</v>
      </c>
    </row>
    <row r="66" spans="1:3" x14ac:dyDescent="0.35">
      <c r="A66" s="4" t="s">
        <v>1087</v>
      </c>
      <c r="B66" s="4" t="s">
        <v>1088</v>
      </c>
      <c r="C66" t="str">
        <f t="shared" si="0"/>
        <v>ARTURO CARLOS MARCIA RODRIGUEZ</v>
      </c>
    </row>
    <row r="67" spans="1:3" x14ac:dyDescent="0.35">
      <c r="A67" s="4" t="s">
        <v>1089</v>
      </c>
      <c r="B67" s="4" t="s">
        <v>1090</v>
      </c>
      <c r="C67" t="str">
        <f t="shared" ref="C67:C130" si="1">IF(A67="","",_xlfn.TEXTJOIN(" ",TRUE,_xlfn._xlws.SORT(_xlfn.TEXTSPLIT(TRIM(UPPER(A67))," ",,TRUE),1,1,TRUE)))</f>
        <v>BELEN ESPINOSA NORIEGA SHUNASHI</v>
      </c>
    </row>
    <row r="68" spans="1:3" x14ac:dyDescent="0.35">
      <c r="A68" s="4" t="s">
        <v>1091</v>
      </c>
      <c r="B68" s="4" t="s">
        <v>1090</v>
      </c>
      <c r="C68" t="str">
        <f t="shared" si="1"/>
        <v>DURAN NICANOR RODRIGUEZ</v>
      </c>
    </row>
    <row r="69" spans="1:3" x14ac:dyDescent="0.35">
      <c r="A69" s="4" t="s">
        <v>1092</v>
      </c>
      <c r="B69" s="4" t="s">
        <v>1090</v>
      </c>
      <c r="C69" t="str">
        <f t="shared" si="1"/>
        <v>ABAD ANDRES PEREZ</v>
      </c>
    </row>
    <row r="70" spans="1:3" x14ac:dyDescent="0.35">
      <c r="A70" s="4" t="s">
        <v>1093</v>
      </c>
      <c r="B70" s="4" t="s">
        <v>1090</v>
      </c>
      <c r="C70" t="str">
        <f t="shared" si="1"/>
        <v>CRESCENCIO ELIA ESQUIVEL</v>
      </c>
    </row>
    <row r="71" spans="1:3" x14ac:dyDescent="0.35">
      <c r="A71" s="4" t="s">
        <v>1094</v>
      </c>
      <c r="B71" s="4" t="s">
        <v>1090</v>
      </c>
      <c r="C71" t="str">
        <f t="shared" si="1"/>
        <v>ANTONIO JOSE MARTINEZ MARTINEZ</v>
      </c>
    </row>
    <row r="72" spans="1:3" x14ac:dyDescent="0.35">
      <c r="A72" s="4" t="s">
        <v>1095</v>
      </c>
      <c r="B72" s="4" t="s">
        <v>1096</v>
      </c>
      <c r="C72" t="str">
        <f t="shared" si="1"/>
        <v>CRUZ JAZMIN VAZQUEZ</v>
      </c>
    </row>
    <row r="73" spans="1:3" x14ac:dyDescent="0.35">
      <c r="A73" s="4" t="s">
        <v>1097</v>
      </c>
      <c r="B73" s="4" t="s">
        <v>1096</v>
      </c>
      <c r="C73" t="str">
        <f t="shared" si="1"/>
        <v>AVILA PAEZ VERONICA</v>
      </c>
    </row>
    <row r="74" spans="1:3" x14ac:dyDescent="0.35">
      <c r="A74" s="4" t="s">
        <v>1098</v>
      </c>
      <c r="B74" s="4" t="s">
        <v>1096</v>
      </c>
      <c r="C74" t="str">
        <f t="shared" si="1"/>
        <v>ALEJANDRO EYBER GARCIA LOPEZ</v>
      </c>
    </row>
    <row r="75" spans="1:3" x14ac:dyDescent="0.35">
      <c r="A75" s="4" t="s">
        <v>1099</v>
      </c>
      <c r="B75" s="4" t="s">
        <v>1096</v>
      </c>
      <c r="C75" t="str">
        <f t="shared" si="1"/>
        <v>CLAUDIA LOPEZ OLIVIA RODRIGUEZ</v>
      </c>
    </row>
    <row r="76" spans="1:3" x14ac:dyDescent="0.35">
      <c r="A76" s="4" t="s">
        <v>1100</v>
      </c>
      <c r="B76" s="4" t="s">
        <v>1096</v>
      </c>
      <c r="C76" t="str">
        <f t="shared" si="1"/>
        <v>ANGEL FRIAS TERAN</v>
      </c>
    </row>
    <row r="77" spans="1:3" x14ac:dyDescent="0.35">
      <c r="A77" s="4" t="s">
        <v>1101</v>
      </c>
      <c r="B77" s="4" t="s">
        <v>1102</v>
      </c>
      <c r="C77" t="str">
        <f t="shared" si="1"/>
        <v>CASTILLO JAQUELIN SANCHEZ</v>
      </c>
    </row>
    <row r="78" spans="1:3" x14ac:dyDescent="0.35">
      <c r="A78" s="4" t="s">
        <v>1103</v>
      </c>
      <c r="B78" s="4" t="s">
        <v>1102</v>
      </c>
      <c r="C78" t="str">
        <f t="shared" si="1"/>
        <v>GARRIDO LUZ MARIA RODRIGUEZ</v>
      </c>
    </row>
    <row r="79" spans="1:3" x14ac:dyDescent="0.35">
      <c r="A79" s="4" t="s">
        <v>1104</v>
      </c>
      <c r="B79" s="4" t="s">
        <v>1102</v>
      </c>
      <c r="C79" t="str">
        <f t="shared" si="1"/>
        <v>GUADALUPE MUÑOZ SOFIA VEGA</v>
      </c>
    </row>
    <row r="80" spans="1:3" x14ac:dyDescent="0.35">
      <c r="A80" s="4" t="s">
        <v>1105</v>
      </c>
      <c r="B80" s="4" t="s">
        <v>1106</v>
      </c>
      <c r="C80" t="str">
        <f t="shared" si="1"/>
        <v>BAYONA DIAZ SARA</v>
      </c>
    </row>
    <row r="81" spans="1:3" x14ac:dyDescent="0.35">
      <c r="A81" s="4" t="s">
        <v>1107</v>
      </c>
      <c r="B81" s="4" t="s">
        <v>1108</v>
      </c>
      <c r="C81" t="str">
        <f t="shared" si="1"/>
        <v>CERON CONCEPCION RAMIREZ</v>
      </c>
    </row>
    <row r="82" spans="1:3" x14ac:dyDescent="0.35">
      <c r="A82" s="4" t="s">
        <v>1109</v>
      </c>
      <c r="B82" s="4" t="s">
        <v>1110</v>
      </c>
      <c r="C82" t="str">
        <f t="shared" si="1"/>
        <v>ALBERTO JESUS MARTINEZ RIVERA</v>
      </c>
    </row>
    <row r="83" spans="1:3" x14ac:dyDescent="0.35">
      <c r="A83" s="4" t="s">
        <v>1111</v>
      </c>
      <c r="B83" s="4" t="s">
        <v>1112</v>
      </c>
      <c r="C83" t="str">
        <f t="shared" si="1"/>
        <v>AQUINO LORANCA MARIANA</v>
      </c>
    </row>
    <row r="84" spans="1:3" x14ac:dyDescent="0.35">
      <c r="A84" s="4" t="s">
        <v>1113</v>
      </c>
      <c r="B84" s="4" t="s">
        <v>1112</v>
      </c>
      <c r="C84" t="str">
        <f t="shared" si="1"/>
        <v>HERNANDEZ MARIANA MINUET PINEDA</v>
      </c>
    </row>
    <row r="85" spans="1:3" x14ac:dyDescent="0.35">
      <c r="A85" s="4" t="s">
        <v>1114</v>
      </c>
      <c r="B85" s="4" t="s">
        <v>1115</v>
      </c>
      <c r="C85" t="str">
        <f t="shared" si="1"/>
        <v>CAÑAS ERICK FABIAN GONZALEZ</v>
      </c>
    </row>
    <row r="86" spans="1:3" x14ac:dyDescent="0.35">
      <c r="A86" s="4" t="s">
        <v>1116</v>
      </c>
      <c r="B86" s="4" t="s">
        <v>1117</v>
      </c>
      <c r="C86" t="str">
        <f t="shared" si="1"/>
        <v>JHOVANY SOLIS VALLEJAN</v>
      </c>
    </row>
    <row r="87" spans="1:3" x14ac:dyDescent="0.35">
      <c r="A87" s="4" t="s">
        <v>1118</v>
      </c>
      <c r="B87" s="4" t="s">
        <v>1117</v>
      </c>
      <c r="C87" t="str">
        <f t="shared" si="1"/>
        <v>DAFNE HERNANDEZ TINOCO YUNNUEN</v>
      </c>
    </row>
    <row r="88" spans="1:3" x14ac:dyDescent="0.35">
      <c r="A88" s="4" t="s">
        <v>1119</v>
      </c>
      <c r="B88" s="4" t="s">
        <v>1120</v>
      </c>
      <c r="C88" t="str">
        <f t="shared" si="1"/>
        <v>DE ELENA LA LAURA ROSA SOTO</v>
      </c>
    </row>
    <row r="89" spans="1:3" x14ac:dyDescent="0.35">
      <c r="A89" s="4" t="s">
        <v>1121</v>
      </c>
      <c r="B89" s="4" t="s">
        <v>1122</v>
      </c>
      <c r="C89" t="str">
        <f t="shared" si="1"/>
        <v>DOMINGUEZ NAYELI SANCHEZ</v>
      </c>
    </row>
    <row r="90" spans="1:3" x14ac:dyDescent="0.35">
      <c r="A90" s="4" t="s">
        <v>1123</v>
      </c>
      <c r="B90" s="4" t="s">
        <v>1122</v>
      </c>
      <c r="C90" t="str">
        <f t="shared" si="1"/>
        <v>DANIEL MACIAS PREZA</v>
      </c>
    </row>
    <row r="91" spans="1:3" x14ac:dyDescent="0.35">
      <c r="A91" s="4" t="s">
        <v>1124</v>
      </c>
      <c r="B91" s="4" t="s">
        <v>1122</v>
      </c>
      <c r="C91" t="str">
        <f t="shared" si="1"/>
        <v>CASIANO CLAUDIA ELIZABETH PALMIERI</v>
      </c>
    </row>
    <row r="92" spans="1:3" x14ac:dyDescent="0.35">
      <c r="A92" s="4" t="s">
        <v>1125</v>
      </c>
      <c r="B92" s="4" t="s">
        <v>1126</v>
      </c>
      <c r="C92" t="str">
        <f t="shared" si="1"/>
        <v>GOMEZ JANET NANCY RUIZ</v>
      </c>
    </row>
    <row r="93" spans="1:3" x14ac:dyDescent="0.35">
      <c r="A93" s="4" t="s">
        <v>1127</v>
      </c>
      <c r="B93" s="4" t="s">
        <v>1128</v>
      </c>
      <c r="C93" t="str">
        <f t="shared" si="1"/>
        <v>ANAHI CRUZ NORMA PEREZ</v>
      </c>
    </row>
    <row r="94" spans="1:3" x14ac:dyDescent="0.35">
      <c r="A94" s="4" t="s">
        <v>1129</v>
      </c>
      <c r="B94" s="4" t="s">
        <v>1130</v>
      </c>
      <c r="C94" t="str">
        <f t="shared" si="1"/>
        <v>HERNANDEZ LOPEZ OSCAR</v>
      </c>
    </row>
    <row r="95" spans="1:3" x14ac:dyDescent="0.35">
      <c r="A95" s="4" t="s">
        <v>1131</v>
      </c>
      <c r="B95" s="4" t="s">
        <v>1130</v>
      </c>
      <c r="C95" t="str">
        <f t="shared" si="1"/>
        <v>ALBERTO CERON DURAN MARIO</v>
      </c>
    </row>
    <row r="96" spans="1:3" x14ac:dyDescent="0.35">
      <c r="A96" s="4" t="s">
        <v>1132</v>
      </c>
      <c r="B96" s="4" t="s">
        <v>1133</v>
      </c>
      <c r="C96" t="str">
        <f t="shared" si="1"/>
        <v>CAMACHO EDUARDO MEDINA</v>
      </c>
    </row>
    <row r="97" spans="1:3" x14ac:dyDescent="0.35">
      <c r="A97" s="4" t="s">
        <v>1134</v>
      </c>
      <c r="B97" s="4" t="s">
        <v>1135</v>
      </c>
      <c r="C97" t="str">
        <f t="shared" si="1"/>
        <v>ANA CARMEN DEL ESTEVEZ MARIA VERTIZ</v>
      </c>
    </row>
    <row r="98" spans="1:3" x14ac:dyDescent="0.35">
      <c r="A98" s="4" t="s">
        <v>1136</v>
      </c>
      <c r="B98" s="4" t="s">
        <v>1137</v>
      </c>
      <c r="C98" t="str">
        <f t="shared" si="1"/>
        <v>ALVAREZ EDGAR RIOS</v>
      </c>
    </row>
    <row r="99" spans="1:3" x14ac:dyDescent="0.35">
      <c r="A99" s="4" t="s">
        <v>1138</v>
      </c>
      <c r="B99" s="4" t="s">
        <v>1139</v>
      </c>
      <c r="C99" t="str">
        <f t="shared" si="1"/>
        <v>CAROLINA RODRIGUEZ TRINIDAD</v>
      </c>
    </row>
    <row r="100" spans="1:3" x14ac:dyDescent="0.35">
      <c r="A100" s="4" t="s">
        <v>1140</v>
      </c>
      <c r="B100" s="4" t="s">
        <v>1141</v>
      </c>
      <c r="C100" t="str">
        <f t="shared" si="1"/>
        <v>ANA LILIA MENDOZA TORRES</v>
      </c>
    </row>
    <row r="101" spans="1:3" x14ac:dyDescent="0.35">
      <c r="A101" s="4" t="s">
        <v>1142</v>
      </c>
      <c r="B101" s="4" t="s">
        <v>1143</v>
      </c>
      <c r="C101" t="str">
        <f t="shared" si="1"/>
        <v>BRENDA MONROY ROJAS</v>
      </c>
    </row>
    <row r="102" spans="1:3" x14ac:dyDescent="0.35">
      <c r="A102" s="4" t="s">
        <v>1144</v>
      </c>
      <c r="B102" s="4" t="s">
        <v>1145</v>
      </c>
      <c r="C102" t="str">
        <f t="shared" si="1"/>
        <v>AGUSTIN HERNANDEZ NAPOLES</v>
      </c>
    </row>
    <row r="103" spans="1:3" x14ac:dyDescent="0.35">
      <c r="A103" s="4" t="s">
        <v>1146</v>
      </c>
      <c r="B103" s="4" t="s">
        <v>1147</v>
      </c>
      <c r="C103" t="str">
        <f t="shared" si="1"/>
        <v>ANTONIO MELGOZA RODRIGUEZ SEBASTIAN</v>
      </c>
    </row>
    <row r="104" spans="1:3" x14ac:dyDescent="0.35">
      <c r="A104" s="4" t="s">
        <v>1148</v>
      </c>
      <c r="B104" s="4" t="s">
        <v>1149</v>
      </c>
      <c r="C104" t="str">
        <f t="shared" si="1"/>
        <v>JESSICA RANGEL VAZQUEZ YOZANDY</v>
      </c>
    </row>
    <row r="105" spans="1:3" x14ac:dyDescent="0.35">
      <c r="A105" s="4" t="s">
        <v>1150</v>
      </c>
      <c r="B105" s="4" t="s">
        <v>1151</v>
      </c>
      <c r="C105" t="str">
        <f t="shared" si="1"/>
        <v>CARBAJAL HERNANDEZ ITZEL</v>
      </c>
    </row>
    <row r="106" spans="1:3" x14ac:dyDescent="0.35">
      <c r="A106" s="4" t="s">
        <v>1152</v>
      </c>
      <c r="B106" s="4" t="s">
        <v>1153</v>
      </c>
      <c r="C106" t="str">
        <f t="shared" si="1"/>
        <v>MARTINEZ MARTINEZ NEIDY</v>
      </c>
    </row>
    <row r="107" spans="1:3" x14ac:dyDescent="0.35">
      <c r="A107" s="4" t="s">
        <v>1154</v>
      </c>
      <c r="B107" s="4" t="s">
        <v>1155</v>
      </c>
      <c r="C107" t="str">
        <f t="shared" si="1"/>
        <v>DIANA GALLEGOS KAREN VARGAS</v>
      </c>
    </row>
    <row r="108" spans="1:3" x14ac:dyDescent="0.35">
      <c r="A108" s="4" t="s">
        <v>1156</v>
      </c>
      <c r="B108" s="4" t="s">
        <v>1157</v>
      </c>
      <c r="C108" t="str">
        <f t="shared" si="1"/>
        <v>ANGELICA DULCE MARTINEZ SANCHEZ</v>
      </c>
    </row>
    <row r="109" spans="1:3" x14ac:dyDescent="0.35">
      <c r="A109" s="4" t="s">
        <v>1158</v>
      </c>
      <c r="B109" s="4" t="s">
        <v>1159</v>
      </c>
      <c r="C109" t="str">
        <f t="shared" si="1"/>
        <v>BRITO EFRAIN LOPEZ</v>
      </c>
    </row>
    <row r="110" spans="1:3" x14ac:dyDescent="0.35">
      <c r="A110" s="4" t="s">
        <v>1160</v>
      </c>
      <c r="B110" s="4" t="s">
        <v>1159</v>
      </c>
      <c r="C110" t="str">
        <f t="shared" si="1"/>
        <v>BADILLO IVONNE TORRES</v>
      </c>
    </row>
    <row r="111" spans="1:3" x14ac:dyDescent="0.35">
      <c r="A111" s="4" t="s">
        <v>1161</v>
      </c>
      <c r="B111" s="4" t="s">
        <v>1159</v>
      </c>
      <c r="C111" t="str">
        <f t="shared" si="1"/>
        <v>FELIPE LUIS NONOAL ROMAN</v>
      </c>
    </row>
    <row r="112" spans="1:3" x14ac:dyDescent="0.35">
      <c r="A112" s="4" t="s">
        <v>1162</v>
      </c>
      <c r="B112" s="4" t="s">
        <v>1163</v>
      </c>
      <c r="C112" t="str">
        <f t="shared" si="1"/>
        <v>CARRETERO KARINA LOPEZ MICHAEL</v>
      </c>
    </row>
    <row r="113" spans="1:3" x14ac:dyDescent="0.35">
      <c r="A113" s="4" t="s">
        <v>1164</v>
      </c>
      <c r="B113" s="4" t="s">
        <v>1163</v>
      </c>
      <c r="C113" t="str">
        <f t="shared" si="1"/>
        <v>CANOVAS JULIA MONSERRAT SARA ZALDIVAR</v>
      </c>
    </row>
    <row r="114" spans="1:3" x14ac:dyDescent="0.35">
      <c r="A114" s="4" t="s">
        <v>1165</v>
      </c>
      <c r="B114" s="4" t="s">
        <v>1166</v>
      </c>
      <c r="C114" t="str">
        <f t="shared" si="1"/>
        <v>ANAYELI GARCIA MINGOLE</v>
      </c>
    </row>
    <row r="115" spans="1:3" x14ac:dyDescent="0.35">
      <c r="A115" s="4" t="s">
        <v>1167</v>
      </c>
      <c r="B115" s="4" t="s">
        <v>1168</v>
      </c>
      <c r="C115" t="str">
        <f t="shared" si="1"/>
        <v>ANTONIO HERNANDEZ LUIS SANTOS</v>
      </c>
    </row>
    <row r="116" spans="1:3" x14ac:dyDescent="0.35">
      <c r="A116" s="4" t="s">
        <v>1169</v>
      </c>
      <c r="B116" s="4" t="s">
        <v>1170</v>
      </c>
      <c r="C116" t="str">
        <f t="shared" si="1"/>
        <v>GRECIA HERNANDEZ VEGA</v>
      </c>
    </row>
    <row r="117" spans="1:3" x14ac:dyDescent="0.35">
      <c r="A117" s="4" t="s">
        <v>1171</v>
      </c>
      <c r="B117" s="4" t="s">
        <v>1172</v>
      </c>
      <c r="C117" t="str">
        <f t="shared" si="1"/>
        <v>ALVARADO AMERICA JIMENEZ SELENE</v>
      </c>
    </row>
    <row r="118" spans="1:3" x14ac:dyDescent="0.35">
      <c r="A118" s="4" t="s">
        <v>1173</v>
      </c>
      <c r="B118" s="4" t="s">
        <v>1174</v>
      </c>
      <c r="C118" t="str">
        <f t="shared" si="1"/>
        <v>BARRIENTOS DIEGO RIVERA</v>
      </c>
    </row>
    <row r="119" spans="1:3" x14ac:dyDescent="0.35">
      <c r="A119" s="4" t="s">
        <v>1175</v>
      </c>
      <c r="B119" s="4" t="s">
        <v>1174</v>
      </c>
      <c r="C119" t="str">
        <f t="shared" si="1"/>
        <v>BETZABE FERNANDA MENDEZ RODRIGUEZ</v>
      </c>
    </row>
    <row r="120" spans="1:3" x14ac:dyDescent="0.35">
      <c r="A120" s="4" t="s">
        <v>1176</v>
      </c>
      <c r="B120" s="4" t="s">
        <v>1177</v>
      </c>
      <c r="C120" t="str">
        <f t="shared" si="1"/>
        <v>CARMEN DEL EDITH JIMENEZ RAZO</v>
      </c>
    </row>
    <row r="121" spans="1:3" x14ac:dyDescent="0.35">
      <c r="A121" s="4" t="s">
        <v>1178</v>
      </c>
      <c r="B121" s="4" t="s">
        <v>1179</v>
      </c>
      <c r="C121" t="str">
        <f t="shared" si="1"/>
        <v>BARON MAYRA ROJAS SOFIA</v>
      </c>
    </row>
    <row r="122" spans="1:3" x14ac:dyDescent="0.35">
      <c r="A122" s="4" t="s">
        <v>1180</v>
      </c>
      <c r="B122" s="4" t="s">
        <v>1181</v>
      </c>
      <c r="C122" t="str">
        <f t="shared" si="1"/>
        <v>ALEJANDRA BERENICE CAMACHO DAVID</v>
      </c>
    </row>
    <row r="123" spans="1:3" x14ac:dyDescent="0.35">
      <c r="A123" s="4" t="s">
        <v>1182</v>
      </c>
      <c r="B123" s="4" t="s">
        <v>1183</v>
      </c>
      <c r="C123" t="str">
        <f t="shared" si="1"/>
        <v>COLIN ESTEPHANY MAYEN</v>
      </c>
    </row>
    <row r="124" spans="1:3" x14ac:dyDescent="0.35">
      <c r="A124" s="4" t="s">
        <v>1184</v>
      </c>
      <c r="B124" s="4" t="s">
        <v>1185</v>
      </c>
      <c r="C124" t="str">
        <f t="shared" si="1"/>
        <v>ALBERTO LUIS MANSO MONTIEL</v>
      </c>
    </row>
    <row r="125" spans="1:3" x14ac:dyDescent="0.35">
      <c r="A125" s="4" t="s">
        <v>1186</v>
      </c>
      <c r="B125" s="4" t="s">
        <v>1187</v>
      </c>
      <c r="C125" t="str">
        <f t="shared" si="1"/>
        <v>MONTOYA RAFAEL SANCHEZ</v>
      </c>
    </row>
    <row r="126" spans="1:3" x14ac:dyDescent="0.35">
      <c r="A126" s="4" t="s">
        <v>1188</v>
      </c>
      <c r="B126" s="4" t="s">
        <v>1189</v>
      </c>
      <c r="C126" t="str">
        <f t="shared" si="1"/>
        <v>GORETI RAMIREZ RODRIGUEZ YOKO</v>
      </c>
    </row>
    <row r="127" spans="1:3" x14ac:dyDescent="0.35">
      <c r="A127" s="4" t="s">
        <v>1190</v>
      </c>
      <c r="B127" s="4" t="s">
        <v>1191</v>
      </c>
      <c r="C127" t="str">
        <f t="shared" si="1"/>
        <v>ANA ESTEFANIA GAYTAN LARA</v>
      </c>
    </row>
    <row r="128" spans="1:3" x14ac:dyDescent="0.35">
      <c r="A128" s="4" t="s">
        <v>1192</v>
      </c>
      <c r="B128" s="4" t="s">
        <v>1193</v>
      </c>
      <c r="C128" t="str">
        <f t="shared" si="1"/>
        <v>IVAN MOLINA OSCAR ZAMORA</v>
      </c>
    </row>
    <row r="129" spans="1:3" x14ac:dyDescent="0.35">
      <c r="A129" s="4" t="s">
        <v>1194</v>
      </c>
      <c r="B129" s="4" t="s">
        <v>1193</v>
      </c>
      <c r="C129" t="str">
        <f t="shared" si="1"/>
        <v>DEBORA LOPEZ OLMOS</v>
      </c>
    </row>
    <row r="130" spans="1:3" x14ac:dyDescent="0.35">
      <c r="A130" s="4" t="s">
        <v>1195</v>
      </c>
      <c r="B130" s="4" t="s">
        <v>1196</v>
      </c>
      <c r="C130" t="str">
        <f t="shared" si="1"/>
        <v>ISLAS JOSE MANUEL NIETO</v>
      </c>
    </row>
    <row r="131" spans="1:3" x14ac:dyDescent="0.35">
      <c r="A131" s="4" t="s">
        <v>1197</v>
      </c>
      <c r="B131" s="4" t="s">
        <v>1196</v>
      </c>
      <c r="C131" t="str">
        <f t="shared" ref="C131:C194" si="2">IF(A131="","",_xlfn.TEXTJOIN(" ",TRUE,_xlfn._xlws.SORT(_xlfn.TEXTSPLIT(TRIM(UPPER(A131))," ",,TRUE),1,1,TRUE)))</f>
        <v>AZAEL GARCIA RODOLFO ROJAS</v>
      </c>
    </row>
    <row r="132" spans="1:3" x14ac:dyDescent="0.35">
      <c r="A132" s="4" t="s">
        <v>1198</v>
      </c>
      <c r="B132" s="4" t="s">
        <v>1196</v>
      </c>
      <c r="C132" t="str">
        <f t="shared" si="2"/>
        <v>ALEXIS HUERTA ROJO</v>
      </c>
    </row>
    <row r="133" spans="1:3" x14ac:dyDescent="0.35">
      <c r="A133" s="4" t="s">
        <v>1199</v>
      </c>
      <c r="B133" s="4" t="s">
        <v>1196</v>
      </c>
      <c r="C133" t="str">
        <f t="shared" si="2"/>
        <v>CARLOS HERNANDEZ JOSE TAPIA</v>
      </c>
    </row>
    <row r="134" spans="1:3" x14ac:dyDescent="0.35">
      <c r="A134" s="4" t="s">
        <v>1200</v>
      </c>
      <c r="B134" s="4" t="s">
        <v>1196</v>
      </c>
      <c r="C134" t="str">
        <f t="shared" si="2"/>
        <v>ALEJANDRO FLORES ORTEGA</v>
      </c>
    </row>
    <row r="135" spans="1:3" x14ac:dyDescent="0.35">
      <c r="A135" s="4" t="s">
        <v>1201</v>
      </c>
      <c r="B135" s="4" t="s">
        <v>1196</v>
      </c>
      <c r="C135" t="str">
        <f t="shared" si="2"/>
        <v>FERNANDEZ MAGAÑA OMAR OSEI</v>
      </c>
    </row>
    <row r="136" spans="1:3" x14ac:dyDescent="0.35">
      <c r="A136" s="4" t="s">
        <v>1202</v>
      </c>
      <c r="B136" s="4" t="s">
        <v>1196</v>
      </c>
      <c r="C136" t="str">
        <f t="shared" si="2"/>
        <v>CARBAJAL CARLOS GUILLERMO JUAREZ</v>
      </c>
    </row>
    <row r="137" spans="1:3" x14ac:dyDescent="0.35">
      <c r="A137" s="4" t="s">
        <v>1203</v>
      </c>
      <c r="B137" s="4" t="s">
        <v>1196</v>
      </c>
      <c r="C137" t="str">
        <f t="shared" si="2"/>
        <v>ALI CASTAÑEDA LOPEZ OSCAR</v>
      </c>
    </row>
    <row r="138" spans="1:3" x14ac:dyDescent="0.35">
      <c r="A138" s="4" t="s">
        <v>1204</v>
      </c>
      <c r="B138" s="4" t="s">
        <v>1196</v>
      </c>
      <c r="C138" t="str">
        <f t="shared" si="2"/>
        <v>AXCELL VARGAS VARGAS</v>
      </c>
    </row>
    <row r="139" spans="1:3" x14ac:dyDescent="0.35">
      <c r="A139" s="4" t="s">
        <v>1205</v>
      </c>
      <c r="B139" s="4" t="s">
        <v>1196</v>
      </c>
      <c r="C139" t="str">
        <f t="shared" si="2"/>
        <v>GONZALEZ JESUS RIVERA</v>
      </c>
    </row>
    <row r="140" spans="1:3" x14ac:dyDescent="0.35">
      <c r="A140" s="4" t="s">
        <v>1206</v>
      </c>
      <c r="B140" s="4" t="s">
        <v>1196</v>
      </c>
      <c r="C140" t="str">
        <f t="shared" si="2"/>
        <v>CARLOS DAVILA HERNANDEZ RODOLFO</v>
      </c>
    </row>
    <row r="141" spans="1:3" x14ac:dyDescent="0.35">
      <c r="A141" s="4" t="s">
        <v>1207</v>
      </c>
      <c r="B141" s="4" t="s">
        <v>1196</v>
      </c>
      <c r="C141" t="str">
        <f t="shared" si="2"/>
        <v>ESPINOZA HECTOR JESUS RODRIGUEZ</v>
      </c>
    </row>
    <row r="142" spans="1:3" x14ac:dyDescent="0.35">
      <c r="A142" s="4" t="s">
        <v>1208</v>
      </c>
      <c r="B142" s="4" t="s">
        <v>1196</v>
      </c>
      <c r="C142" t="str">
        <f t="shared" si="2"/>
        <v>ALEX DANIEL GUZMAN VAZQUEZ</v>
      </c>
    </row>
    <row r="143" spans="1:3" x14ac:dyDescent="0.35">
      <c r="A143" s="4" t="s">
        <v>1209</v>
      </c>
      <c r="B143" s="4" t="s">
        <v>1196</v>
      </c>
      <c r="C143" t="str">
        <f t="shared" si="2"/>
        <v>CARLOS MONREAL MORAN</v>
      </c>
    </row>
    <row r="144" spans="1:3" x14ac:dyDescent="0.35">
      <c r="A144" s="4" t="s">
        <v>1210</v>
      </c>
      <c r="B144" s="4" t="s">
        <v>1196</v>
      </c>
      <c r="C144" t="str">
        <f t="shared" si="2"/>
        <v>HERNANDEZ HUGO LOPEZ VICTOR</v>
      </c>
    </row>
    <row r="145" spans="1:3" x14ac:dyDescent="0.35">
      <c r="A145" s="4" t="s">
        <v>1211</v>
      </c>
      <c r="B145" s="4" t="s">
        <v>1196</v>
      </c>
      <c r="C145" t="str">
        <f t="shared" si="2"/>
        <v>ANTONIO CADENAS HERNANDEZ MARCO</v>
      </c>
    </row>
    <row r="146" spans="1:3" x14ac:dyDescent="0.35">
      <c r="A146" s="4" t="s">
        <v>1212</v>
      </c>
      <c r="B146" s="4" t="s">
        <v>1196</v>
      </c>
      <c r="C146" t="str">
        <f t="shared" si="2"/>
        <v>CALIXTRO EMMANUEL MORENO RODRIGO</v>
      </c>
    </row>
    <row r="147" spans="1:3" x14ac:dyDescent="0.35">
      <c r="A147" s="4" t="s">
        <v>1213</v>
      </c>
      <c r="B147" s="4" t="s">
        <v>1196</v>
      </c>
      <c r="C147" t="str">
        <f t="shared" si="2"/>
        <v>BENJAMIN RANGEL RODRIGUEZ</v>
      </c>
    </row>
    <row r="148" spans="1:3" x14ac:dyDescent="0.35">
      <c r="A148" s="4" t="s">
        <v>1214</v>
      </c>
      <c r="B148" s="4" t="s">
        <v>1196</v>
      </c>
      <c r="C148" t="str">
        <f t="shared" si="2"/>
        <v>DAVID HERNANDEZ JONATHAN NEGRETE</v>
      </c>
    </row>
    <row r="149" spans="1:3" x14ac:dyDescent="0.35">
      <c r="A149" s="4" t="s">
        <v>1215</v>
      </c>
      <c r="B149" s="4" t="s">
        <v>1196</v>
      </c>
      <c r="C149" t="str">
        <f t="shared" si="2"/>
        <v>CHRISTIAN MONROY ZAMBRANO</v>
      </c>
    </row>
    <row r="150" spans="1:3" x14ac:dyDescent="0.35">
      <c r="A150" s="4" t="s">
        <v>1216</v>
      </c>
      <c r="B150" s="4" t="s">
        <v>1196</v>
      </c>
      <c r="C150" t="str">
        <f t="shared" si="2"/>
        <v>ADOLFO CARLOS CRUZ MARTINEZ</v>
      </c>
    </row>
    <row r="151" spans="1:3" x14ac:dyDescent="0.35">
      <c r="A151" s="4" t="s">
        <v>1217</v>
      </c>
      <c r="B151" s="4" t="s">
        <v>1218</v>
      </c>
      <c r="C151" t="str">
        <f t="shared" si="2"/>
        <v>FELIX FLORES JOSE ROJAS</v>
      </c>
    </row>
    <row r="152" spans="1:3" x14ac:dyDescent="0.35">
      <c r="A152" s="4" t="s">
        <v>1219</v>
      </c>
      <c r="B152" s="4" t="s">
        <v>1220</v>
      </c>
      <c r="C152" t="str">
        <f t="shared" si="2"/>
        <v>JAVIER RODRIGUEZ ROSALES</v>
      </c>
    </row>
    <row r="153" spans="1:3" x14ac:dyDescent="0.35">
      <c r="A153" s="4" t="s">
        <v>1221</v>
      </c>
      <c r="B153" s="4" t="s">
        <v>1222</v>
      </c>
      <c r="C153" t="str">
        <f t="shared" si="2"/>
        <v>CARMONA DEL OFELIA RAZO</v>
      </c>
    </row>
    <row r="154" spans="1:3" x14ac:dyDescent="0.35">
      <c r="A154" s="4" t="s">
        <v>1223</v>
      </c>
      <c r="B154" s="4" t="s">
        <v>1224</v>
      </c>
      <c r="C154" t="str">
        <f t="shared" si="2"/>
        <v>AUCENSIA GARCIA LETICIA MARIA RODRIGUEZ</v>
      </c>
    </row>
    <row r="155" spans="1:3" x14ac:dyDescent="0.35">
      <c r="A155" s="4" t="s">
        <v>1225</v>
      </c>
      <c r="B155" s="4" t="s">
        <v>1224</v>
      </c>
      <c r="C155" t="str">
        <f t="shared" si="2"/>
        <v>CRUZ MARTINEZ MUÑOZ</v>
      </c>
    </row>
    <row r="156" spans="1:3" x14ac:dyDescent="0.35">
      <c r="A156" s="4" t="s">
        <v>1226</v>
      </c>
      <c r="B156" s="4" t="s">
        <v>1224</v>
      </c>
      <c r="C156" t="str">
        <f t="shared" si="2"/>
        <v>CHAVEZ CINTHIA NEGRETE PAOLA</v>
      </c>
    </row>
    <row r="157" spans="1:3" x14ac:dyDescent="0.35">
      <c r="A157" s="4" t="s">
        <v>1227</v>
      </c>
      <c r="B157" s="4" t="s">
        <v>1224</v>
      </c>
      <c r="C157" t="str">
        <f t="shared" si="2"/>
        <v>CASTRO CRISTINA MAGALI MONTOYA</v>
      </c>
    </row>
    <row r="158" spans="1:3" x14ac:dyDescent="0.35">
      <c r="A158" s="4" t="s">
        <v>1228</v>
      </c>
      <c r="B158" s="4" t="s">
        <v>1224</v>
      </c>
      <c r="C158" t="str">
        <f t="shared" si="2"/>
        <v>CASTAÑEDA GALVAN NIDIA</v>
      </c>
    </row>
    <row r="159" spans="1:3" x14ac:dyDescent="0.35">
      <c r="A159" s="4" t="s">
        <v>1229</v>
      </c>
      <c r="B159" s="4" t="s">
        <v>1224</v>
      </c>
      <c r="C159" t="str">
        <f t="shared" si="2"/>
        <v>AIDE GARCIA JUANA LOPEZ</v>
      </c>
    </row>
    <row r="160" spans="1:3" x14ac:dyDescent="0.35">
      <c r="A160" s="4" t="s">
        <v>1230</v>
      </c>
      <c r="B160" s="4" t="s">
        <v>1224</v>
      </c>
      <c r="C160" t="str">
        <f t="shared" si="2"/>
        <v>FERNANDO HERNANDEZ JUAN LOPEZ</v>
      </c>
    </row>
    <row r="161" spans="1:3" x14ac:dyDescent="0.35">
      <c r="A161" s="4" t="s">
        <v>1231</v>
      </c>
      <c r="B161" s="4" t="s">
        <v>1232</v>
      </c>
      <c r="C161" t="str">
        <f t="shared" si="2"/>
        <v>JAVIER MANUEL MORENO VILLEDA</v>
      </c>
    </row>
    <row r="162" spans="1:3" x14ac:dyDescent="0.35">
      <c r="A162" s="4" t="s">
        <v>1233</v>
      </c>
      <c r="B162" s="4" t="s">
        <v>1232</v>
      </c>
      <c r="C162" t="str">
        <f t="shared" si="2"/>
        <v>BONILLA NOEL OLIVARES</v>
      </c>
    </row>
    <row r="163" spans="1:3" x14ac:dyDescent="0.35">
      <c r="A163" s="4" t="s">
        <v>1234</v>
      </c>
      <c r="B163" s="4" t="s">
        <v>1232</v>
      </c>
      <c r="C163" t="str">
        <f t="shared" si="2"/>
        <v>FERNANDO MANOATL SEGURA</v>
      </c>
    </row>
    <row r="164" spans="1:3" x14ac:dyDescent="0.35">
      <c r="A164" s="4" t="s">
        <v>1235</v>
      </c>
      <c r="B164" s="4" t="s">
        <v>1232</v>
      </c>
      <c r="C164" t="str">
        <f t="shared" si="2"/>
        <v>ANGEL HERNANDEZ HERNANDEZ MIGUEL</v>
      </c>
    </row>
    <row r="165" spans="1:3" x14ac:dyDescent="0.35">
      <c r="A165" s="4" t="s">
        <v>1236</v>
      </c>
      <c r="B165" s="4" t="s">
        <v>1237</v>
      </c>
      <c r="C165" t="str">
        <f t="shared" si="2"/>
        <v>HERNANDEZ MARTINEZ NATALIA SOFIA</v>
      </c>
    </row>
    <row r="166" spans="1:3" x14ac:dyDescent="0.35">
      <c r="A166" s="4" t="s">
        <v>1238</v>
      </c>
      <c r="B166" s="4" t="s">
        <v>1237</v>
      </c>
      <c r="C166" t="str">
        <f t="shared" si="2"/>
        <v>GARCIA HERNANDEZ JESUS MICHELL</v>
      </c>
    </row>
    <row r="167" spans="1:3" x14ac:dyDescent="0.35">
      <c r="A167" s="4" t="s">
        <v>1239</v>
      </c>
      <c r="B167" s="4" t="s">
        <v>1237</v>
      </c>
      <c r="C167" t="str">
        <f t="shared" si="2"/>
        <v>AUSTRIA LOPEZ MAURICIO</v>
      </c>
    </row>
    <row r="168" spans="1:3" x14ac:dyDescent="0.35">
      <c r="A168" s="4" t="s">
        <v>1240</v>
      </c>
      <c r="B168" s="4" t="s">
        <v>1241</v>
      </c>
      <c r="C168" t="str">
        <f t="shared" si="2"/>
        <v>DAVILA EVELYN PAULINA VAZQUEZ</v>
      </c>
    </row>
    <row r="169" spans="1:3" x14ac:dyDescent="0.35">
      <c r="A169" s="4" t="s">
        <v>1242</v>
      </c>
      <c r="B169" s="4" t="s">
        <v>1241</v>
      </c>
      <c r="C169" t="str">
        <f t="shared" si="2"/>
        <v>GONZALEZ PIEDRAS VANESA</v>
      </c>
    </row>
    <row r="170" spans="1:3" x14ac:dyDescent="0.35">
      <c r="A170" s="4" t="s">
        <v>1243</v>
      </c>
      <c r="B170" s="4" t="s">
        <v>1222</v>
      </c>
      <c r="C170" t="str">
        <f t="shared" si="2"/>
        <v>CRYSTAL JIMENEZ ROSA VAZQUEZ</v>
      </c>
    </row>
    <row r="171" spans="1:3" x14ac:dyDescent="0.35">
      <c r="A171" s="4" t="s">
        <v>1244</v>
      </c>
      <c r="B171" s="4" t="s">
        <v>1222</v>
      </c>
      <c r="C171" t="str">
        <f t="shared" si="2"/>
        <v>MA. MUÑOZ PALESTINA TERESA</v>
      </c>
    </row>
    <row r="172" spans="1:3" x14ac:dyDescent="0.35">
      <c r="A172" s="4" t="s">
        <v>1245</v>
      </c>
      <c r="B172" s="4" t="s">
        <v>1222</v>
      </c>
      <c r="C172" t="str">
        <f t="shared" si="2"/>
        <v>AGUILAR LORENA LUGO MARIA</v>
      </c>
    </row>
    <row r="173" spans="1:3" x14ac:dyDescent="0.35">
      <c r="A173" s="4" t="s">
        <v>1246</v>
      </c>
      <c r="B173" s="4" t="s">
        <v>1222</v>
      </c>
      <c r="C173" t="str">
        <f t="shared" si="2"/>
        <v>CUESTA ELENA VALDERRABANO</v>
      </c>
    </row>
    <row r="174" spans="1:3" x14ac:dyDescent="0.35">
      <c r="A174" s="4" t="s">
        <v>1247</v>
      </c>
      <c r="B174" s="4" t="s">
        <v>1222</v>
      </c>
      <c r="C174" t="str">
        <f t="shared" si="2"/>
        <v>ALICIA CASTILLO GOMEZ</v>
      </c>
    </row>
    <row r="175" spans="1:3" x14ac:dyDescent="0.35">
      <c r="A175" s="4" t="s">
        <v>1248</v>
      </c>
      <c r="B175" s="4" t="s">
        <v>1222</v>
      </c>
      <c r="C175" t="str">
        <f t="shared" si="2"/>
        <v>MENDEZ MOTA YOLANDA</v>
      </c>
    </row>
    <row r="176" spans="1:3" x14ac:dyDescent="0.35">
      <c r="A176" s="4" t="s">
        <v>1249</v>
      </c>
      <c r="B176" s="4" t="s">
        <v>1222</v>
      </c>
      <c r="C176" t="str">
        <f t="shared" si="2"/>
        <v>GUADALUPE RAMIREZ VALENCIA</v>
      </c>
    </row>
    <row r="177" spans="1:3" x14ac:dyDescent="0.35">
      <c r="A177" s="4" t="s">
        <v>1250</v>
      </c>
      <c r="B177" s="4" t="s">
        <v>1222</v>
      </c>
      <c r="C177" t="str">
        <f t="shared" si="2"/>
        <v>HERNANDEZ HERNANDEZ KARINA</v>
      </c>
    </row>
    <row r="178" spans="1:3" x14ac:dyDescent="0.35">
      <c r="A178" s="4" t="s">
        <v>1251</v>
      </c>
      <c r="B178" s="4" t="s">
        <v>1222</v>
      </c>
      <c r="C178" t="str">
        <f t="shared" si="2"/>
        <v>DURAN PEDRO VAZQUEZ</v>
      </c>
    </row>
    <row r="179" spans="1:3" x14ac:dyDescent="0.35">
      <c r="A179" s="4" t="s">
        <v>1252</v>
      </c>
      <c r="B179" s="4" t="s">
        <v>1222</v>
      </c>
      <c r="C179" t="str">
        <f t="shared" si="2"/>
        <v>DIANA JIMENEZ JUDITH ZAMORA</v>
      </c>
    </row>
    <row r="180" spans="1:3" x14ac:dyDescent="0.35">
      <c r="A180" s="4" t="s">
        <v>1253</v>
      </c>
      <c r="B180" s="4" t="s">
        <v>1222</v>
      </c>
      <c r="C180" t="str">
        <f t="shared" si="2"/>
        <v>AGUILAR HERNANDEZ RAFAEL</v>
      </c>
    </row>
    <row r="181" spans="1:3" x14ac:dyDescent="0.35">
      <c r="A181" s="4" t="s">
        <v>1254</v>
      </c>
      <c r="B181" s="4" t="s">
        <v>1222</v>
      </c>
      <c r="C181" t="str">
        <f t="shared" si="2"/>
        <v>HERNANDEZ LOPEZ NORBERTA</v>
      </c>
    </row>
    <row r="182" spans="1:3" x14ac:dyDescent="0.35">
      <c r="A182" s="4" t="s">
        <v>1255</v>
      </c>
      <c r="B182" s="4" t="s">
        <v>1222</v>
      </c>
      <c r="C182" t="str">
        <f t="shared" si="2"/>
        <v>GARCIA GUILLERMINA GUTIERREZ</v>
      </c>
    </row>
    <row r="183" spans="1:3" x14ac:dyDescent="0.35">
      <c r="A183" s="4" t="s">
        <v>1256</v>
      </c>
      <c r="B183" s="4" t="s">
        <v>1222</v>
      </c>
      <c r="C183" t="str">
        <f t="shared" si="2"/>
        <v>HUERTA PETRA SANCHEZ</v>
      </c>
    </row>
    <row r="184" spans="1:3" x14ac:dyDescent="0.35">
      <c r="A184" s="4" t="s">
        <v>1257</v>
      </c>
      <c r="B184" s="4" t="s">
        <v>1222</v>
      </c>
      <c r="C184" t="str">
        <f t="shared" si="2"/>
        <v>CARLOS FLORES JUAN SANCHEZ</v>
      </c>
    </row>
    <row r="185" spans="1:3" x14ac:dyDescent="0.35">
      <c r="A185" s="4" t="s">
        <v>1258</v>
      </c>
      <c r="B185" s="4" t="s">
        <v>1222</v>
      </c>
      <c r="C185" t="str">
        <f t="shared" si="2"/>
        <v>ISABEL MARIA MUÑOZ SALINAS</v>
      </c>
    </row>
    <row r="186" spans="1:3" x14ac:dyDescent="0.35">
      <c r="A186" s="4" t="s">
        <v>1259</v>
      </c>
      <c r="B186" s="4" t="s">
        <v>1222</v>
      </c>
      <c r="C186" t="str">
        <f t="shared" si="2"/>
        <v>MARIA RAQUEL RODRIGUEZ SANCHEZ</v>
      </c>
    </row>
    <row r="187" spans="1:3" x14ac:dyDescent="0.35">
      <c r="A187" s="4" t="s">
        <v>1260</v>
      </c>
      <c r="B187" s="4" t="s">
        <v>1222</v>
      </c>
      <c r="C187" t="str">
        <f t="shared" si="2"/>
        <v>HERNANDEZ MARIBEL PEREZ</v>
      </c>
    </row>
    <row r="188" spans="1:3" x14ac:dyDescent="0.35">
      <c r="A188" s="4" t="s">
        <v>1261</v>
      </c>
      <c r="B188" s="4" t="s">
        <v>1222</v>
      </c>
      <c r="C188" t="str">
        <f t="shared" si="2"/>
        <v>FLORES GARCIA MARIELA SARA</v>
      </c>
    </row>
    <row r="189" spans="1:3" x14ac:dyDescent="0.35">
      <c r="A189" s="4" t="s">
        <v>1262</v>
      </c>
      <c r="B189" s="4" t="s">
        <v>1222</v>
      </c>
      <c r="C189" t="str">
        <f t="shared" si="2"/>
        <v>FLORES GUADALUPE MA. MONTES</v>
      </c>
    </row>
    <row r="190" spans="1:3" x14ac:dyDescent="0.35">
      <c r="A190" s="4" t="s">
        <v>1263</v>
      </c>
      <c r="B190" s="4" t="s">
        <v>1222</v>
      </c>
      <c r="C190" t="str">
        <f t="shared" si="2"/>
        <v>DIONICIO HUERTA MIRANDA</v>
      </c>
    </row>
    <row r="191" spans="1:3" x14ac:dyDescent="0.35">
      <c r="A191" s="4" t="s">
        <v>1264</v>
      </c>
      <c r="B191" s="4" t="s">
        <v>1222</v>
      </c>
      <c r="C191" t="str">
        <f t="shared" si="2"/>
        <v>ANGELICA GARCIA LIMA</v>
      </c>
    </row>
    <row r="192" spans="1:3" x14ac:dyDescent="0.35">
      <c r="A192" s="4" t="s">
        <v>1265</v>
      </c>
      <c r="B192" s="4" t="s">
        <v>1222</v>
      </c>
      <c r="C192" t="str">
        <f t="shared" si="2"/>
        <v>GARCIA MARISOL SALINAS</v>
      </c>
    </row>
    <row r="193" spans="1:3" x14ac:dyDescent="0.35">
      <c r="A193" s="4" t="s">
        <v>1266</v>
      </c>
      <c r="B193" s="4" t="s">
        <v>1222</v>
      </c>
      <c r="C193" t="str">
        <f t="shared" si="2"/>
        <v>HERNANDEZ MONTIEL SOFIA</v>
      </c>
    </row>
    <row r="194" spans="1:3" x14ac:dyDescent="0.35">
      <c r="A194" s="4" t="s">
        <v>1267</v>
      </c>
      <c r="B194" s="4" t="s">
        <v>1222</v>
      </c>
      <c r="C194" t="str">
        <f t="shared" si="2"/>
        <v>DURAN LOPEZ VERONICA</v>
      </c>
    </row>
    <row r="195" spans="1:3" x14ac:dyDescent="0.35">
      <c r="A195" s="4" t="s">
        <v>1268</v>
      </c>
      <c r="B195" s="4" t="s">
        <v>1222</v>
      </c>
      <c r="C195" t="str">
        <f t="shared" ref="C195:C258" si="3">IF(A195="","",_xlfn.TEXTJOIN(" ",TRUE,_xlfn._xlws.SORT(_xlfn.TEXTSPLIT(TRIM(UPPER(A195))," ",,TRUE),1,1,TRUE)))</f>
        <v>EVELIN ORTEGA RODRIGUEZ</v>
      </c>
    </row>
    <row r="196" spans="1:3" x14ac:dyDescent="0.35">
      <c r="A196" s="4" t="s">
        <v>1269</v>
      </c>
      <c r="B196" s="4" t="s">
        <v>1222</v>
      </c>
      <c r="C196" t="str">
        <f t="shared" si="3"/>
        <v>CERVANTES HERNANDEZ SANDRA</v>
      </c>
    </row>
    <row r="197" spans="1:3" x14ac:dyDescent="0.35">
      <c r="A197" s="4" t="s">
        <v>1270</v>
      </c>
      <c r="B197" s="4" t="s">
        <v>1222</v>
      </c>
      <c r="C197" t="str">
        <f t="shared" si="3"/>
        <v>HERNANDEZ JOSELIN KELLI PEREZ</v>
      </c>
    </row>
    <row r="198" spans="1:3" x14ac:dyDescent="0.35">
      <c r="A198" s="4" t="s">
        <v>1271</v>
      </c>
      <c r="B198" s="4" t="s">
        <v>1222</v>
      </c>
      <c r="C198" t="str">
        <f t="shared" si="3"/>
        <v>BRAULIO JAVIER LEMUS</v>
      </c>
    </row>
    <row r="199" spans="1:3" x14ac:dyDescent="0.35">
      <c r="A199" s="4" t="s">
        <v>1272</v>
      </c>
      <c r="B199" s="4" t="s">
        <v>1222</v>
      </c>
      <c r="C199" t="str">
        <f t="shared" si="3"/>
        <v>GUADALUPE MARIA PEREZ TAPIA</v>
      </c>
    </row>
    <row r="200" spans="1:3" x14ac:dyDescent="0.35">
      <c r="A200" s="4" t="s">
        <v>1273</v>
      </c>
      <c r="B200" s="4" t="s">
        <v>1222</v>
      </c>
      <c r="C200" t="str">
        <f t="shared" si="3"/>
        <v>BARUCH ERICK GARCIA SANCHEZ</v>
      </c>
    </row>
    <row r="201" spans="1:3" x14ac:dyDescent="0.35">
      <c r="A201" s="4" t="s">
        <v>1274</v>
      </c>
      <c r="B201" s="4" t="s">
        <v>1222</v>
      </c>
      <c r="C201" t="str">
        <f t="shared" si="3"/>
        <v>DALIA HERNANDEZ ROSALES XOCHITL</v>
      </c>
    </row>
    <row r="202" spans="1:3" x14ac:dyDescent="0.35">
      <c r="A202" s="4" t="s">
        <v>1275</v>
      </c>
      <c r="B202" s="4" t="s">
        <v>1222</v>
      </c>
      <c r="C202" t="str">
        <f t="shared" si="3"/>
        <v>BLAS DANIEL LOPEZ PEREZ</v>
      </c>
    </row>
    <row r="203" spans="1:3" x14ac:dyDescent="0.35">
      <c r="A203" s="4" t="s">
        <v>1276</v>
      </c>
      <c r="B203" s="4" t="s">
        <v>1222</v>
      </c>
      <c r="C203" t="str">
        <f t="shared" si="3"/>
        <v>ALBERTO CARMONA GARCIA</v>
      </c>
    </row>
    <row r="204" spans="1:3" x14ac:dyDescent="0.35">
      <c r="A204" s="4" t="s">
        <v>1277</v>
      </c>
      <c r="B204" s="4" t="s">
        <v>1222</v>
      </c>
      <c r="C204" t="str">
        <f t="shared" si="3"/>
        <v>ALEJANDRO BRIAN HERNANDEZ RAMIREZ</v>
      </c>
    </row>
    <row r="205" spans="1:3" x14ac:dyDescent="0.35">
      <c r="A205" s="4" t="s">
        <v>1278</v>
      </c>
      <c r="B205" s="4" t="s">
        <v>1222</v>
      </c>
      <c r="C205" t="str">
        <f t="shared" si="3"/>
        <v>FLORES GONZALEZ LAURA</v>
      </c>
    </row>
    <row r="206" spans="1:3" x14ac:dyDescent="0.35">
      <c r="A206" s="4" t="s">
        <v>1279</v>
      </c>
      <c r="B206" s="4" t="s">
        <v>1222</v>
      </c>
      <c r="C206" t="str">
        <f t="shared" si="3"/>
        <v>HERNANDEZ VAZQUEZ VIRIDIANA</v>
      </c>
    </row>
    <row r="207" spans="1:3" x14ac:dyDescent="0.35">
      <c r="A207" s="4" t="s">
        <v>1280</v>
      </c>
      <c r="B207" s="4" t="s">
        <v>1222</v>
      </c>
      <c r="C207" t="str">
        <f t="shared" si="3"/>
        <v>LEON LOPEZ ROBERTO</v>
      </c>
    </row>
    <row r="208" spans="1:3" x14ac:dyDescent="0.35">
      <c r="A208" s="4" t="s">
        <v>1281</v>
      </c>
      <c r="B208" s="4" t="s">
        <v>1222</v>
      </c>
      <c r="C208" t="str">
        <f t="shared" si="3"/>
        <v>LAURA MONSERRAT ORTEGA ROMANO</v>
      </c>
    </row>
    <row r="209" spans="1:3" x14ac:dyDescent="0.35">
      <c r="A209" s="4" t="s">
        <v>1282</v>
      </c>
      <c r="B209" s="4" t="s">
        <v>1222</v>
      </c>
      <c r="C209" t="str">
        <f t="shared" si="3"/>
        <v>ARTURO HUERTA JORGE MARTINEZ</v>
      </c>
    </row>
    <row r="210" spans="1:3" x14ac:dyDescent="0.35">
      <c r="A210" s="4" t="s">
        <v>1283</v>
      </c>
      <c r="B210" s="4" t="s">
        <v>1222</v>
      </c>
      <c r="C210" t="str">
        <f t="shared" si="3"/>
        <v>DANIEL JOSE MUÑOZ QUINTERO</v>
      </c>
    </row>
    <row r="211" spans="1:3" x14ac:dyDescent="0.35">
      <c r="A211" s="4" t="s">
        <v>1284</v>
      </c>
      <c r="B211" s="4" t="s">
        <v>1222</v>
      </c>
      <c r="C211" t="str">
        <f t="shared" si="3"/>
        <v>EMMANUEL ORTEGA SAAVEDRA</v>
      </c>
    </row>
    <row r="212" spans="1:3" x14ac:dyDescent="0.35">
      <c r="A212" s="4" t="s">
        <v>1285</v>
      </c>
      <c r="B212" s="4" t="s">
        <v>1222</v>
      </c>
      <c r="C212" t="str">
        <f t="shared" si="3"/>
        <v>CENTENO LOURDES MORALES</v>
      </c>
    </row>
    <row r="213" spans="1:3" x14ac:dyDescent="0.35">
      <c r="A213" s="4" t="s">
        <v>1286</v>
      </c>
      <c r="B213" s="4" t="s">
        <v>1222</v>
      </c>
      <c r="C213" t="str">
        <f t="shared" si="3"/>
        <v>FLORES GARCIA JOSE MANUEL</v>
      </c>
    </row>
    <row r="214" spans="1:3" x14ac:dyDescent="0.35">
      <c r="A214" s="4" t="s">
        <v>1287</v>
      </c>
      <c r="B214" s="4" t="s">
        <v>1222</v>
      </c>
      <c r="C214" t="str">
        <f t="shared" si="3"/>
        <v>EDGAR GONZALEZ LEUCONA</v>
      </c>
    </row>
    <row r="215" spans="1:3" x14ac:dyDescent="0.35">
      <c r="A215" s="4" t="s">
        <v>1288</v>
      </c>
      <c r="B215" s="4" t="s">
        <v>1222</v>
      </c>
      <c r="C215" t="str">
        <f t="shared" si="3"/>
        <v>AURORA CARDENAS DEGANTE JUDITH</v>
      </c>
    </row>
    <row r="216" spans="1:3" x14ac:dyDescent="0.35">
      <c r="A216" s="4" t="s">
        <v>1289</v>
      </c>
      <c r="B216" s="4" t="s">
        <v>1290</v>
      </c>
      <c r="C216" t="str">
        <f t="shared" si="3"/>
        <v>AHTZIRY METZTLI SALDAÑA VAZQUEZ</v>
      </c>
    </row>
    <row r="217" spans="1:3" x14ac:dyDescent="0.35">
      <c r="A217" s="4" t="s">
        <v>1291</v>
      </c>
      <c r="B217" s="4" t="s">
        <v>1290</v>
      </c>
      <c r="C217" t="str">
        <f t="shared" si="3"/>
        <v>GOMEZ LECUONA RICARDO</v>
      </c>
    </row>
    <row r="218" spans="1:3" x14ac:dyDescent="0.35">
      <c r="A218" s="4" t="s">
        <v>1292</v>
      </c>
      <c r="B218" s="4" t="s">
        <v>1290</v>
      </c>
      <c r="C218" t="str">
        <f t="shared" si="3"/>
        <v>DANIEL LAUREANO MUÑOZ RAMIRO</v>
      </c>
    </row>
    <row r="219" spans="1:3" x14ac:dyDescent="0.35">
      <c r="A219" s="4" t="s">
        <v>1293</v>
      </c>
      <c r="B219" s="4" t="s">
        <v>1290</v>
      </c>
      <c r="C219" t="str">
        <f t="shared" si="3"/>
        <v>CASTILLO CHAVEZ CRUZ ROCIO</v>
      </c>
    </row>
    <row r="220" spans="1:3" x14ac:dyDescent="0.35">
      <c r="A220" s="4" t="s">
        <v>1294</v>
      </c>
      <c r="B220" s="4" t="s">
        <v>1290</v>
      </c>
      <c r="C220" t="str">
        <f t="shared" si="3"/>
        <v>BADILLO CITLALLI GONZALEZ</v>
      </c>
    </row>
    <row r="221" spans="1:3" x14ac:dyDescent="0.35">
      <c r="A221" s="4" t="s">
        <v>1295</v>
      </c>
      <c r="B221" s="4" t="s">
        <v>1290</v>
      </c>
      <c r="C221" t="str">
        <f t="shared" si="3"/>
        <v>BONILLA GUADALUPE LOPEZ</v>
      </c>
    </row>
    <row r="222" spans="1:3" x14ac:dyDescent="0.35">
      <c r="A222" s="4" t="s">
        <v>1296</v>
      </c>
      <c r="B222" s="4" t="s">
        <v>1220</v>
      </c>
      <c r="C222" t="str">
        <f t="shared" si="3"/>
        <v>ALBERTO CARLOS MARTINEZ ZAVALETA</v>
      </c>
    </row>
    <row r="223" spans="1:3" x14ac:dyDescent="0.35">
      <c r="A223" s="4" t="s">
        <v>1297</v>
      </c>
      <c r="B223" s="4" t="s">
        <v>1220</v>
      </c>
      <c r="C223" t="str">
        <f t="shared" si="3"/>
        <v>FLORES GERARDO JOSE SERVIN</v>
      </c>
    </row>
    <row r="224" spans="1:3" x14ac:dyDescent="0.35">
      <c r="A224" s="4" t="s">
        <v>1298</v>
      </c>
      <c r="B224" s="4" t="s">
        <v>1220</v>
      </c>
      <c r="C224" t="str">
        <f t="shared" si="3"/>
        <v>CAMACHO MENDOZA OSCAR RAMON</v>
      </c>
    </row>
    <row r="225" spans="1:3" x14ac:dyDescent="0.35">
      <c r="A225" s="4" t="s">
        <v>1299</v>
      </c>
      <c r="B225" s="4" t="s">
        <v>1220</v>
      </c>
      <c r="C225" t="str">
        <f t="shared" si="3"/>
        <v>ANTONIO MARCO MORALES RUIZ</v>
      </c>
    </row>
    <row r="226" spans="1:3" x14ac:dyDescent="0.35">
      <c r="A226" s="4" t="s">
        <v>1300</v>
      </c>
      <c r="B226" s="4" t="s">
        <v>1220</v>
      </c>
      <c r="C226" t="str">
        <f t="shared" si="3"/>
        <v>CORONA JOAQUIN RODRIGUEZ</v>
      </c>
    </row>
    <row r="227" spans="1:3" x14ac:dyDescent="0.35">
      <c r="A227" s="4" t="s">
        <v>1301</v>
      </c>
      <c r="B227" s="4" t="s">
        <v>1220</v>
      </c>
      <c r="C227" t="str">
        <f t="shared" si="3"/>
        <v>FERNANDO REYES SANCHEZ</v>
      </c>
    </row>
    <row r="228" spans="1:3" x14ac:dyDescent="0.35">
      <c r="A228" s="4" t="s">
        <v>1302</v>
      </c>
      <c r="B228" s="4" t="s">
        <v>1220</v>
      </c>
      <c r="C228" t="str">
        <f t="shared" si="3"/>
        <v>ANGEL GONZALEZ GUARNEROS OMAR</v>
      </c>
    </row>
    <row r="229" spans="1:3" x14ac:dyDescent="0.35">
      <c r="A229" s="4" t="s">
        <v>1303</v>
      </c>
      <c r="B229" s="4" t="s">
        <v>1304</v>
      </c>
      <c r="C229" t="str">
        <f t="shared" si="3"/>
        <v>LILIANA MUÑOZ VAZQUEZ</v>
      </c>
    </row>
    <row r="230" spans="1:3" x14ac:dyDescent="0.35">
      <c r="A230" s="4" t="s">
        <v>1305</v>
      </c>
      <c r="B230" s="4" t="s">
        <v>1306</v>
      </c>
      <c r="C230" t="str">
        <f t="shared" si="3"/>
        <v>CABRERA MARIBEL VICENTE</v>
      </c>
    </row>
    <row r="231" spans="1:3" x14ac:dyDescent="0.35">
      <c r="A231" s="4" t="s">
        <v>1307</v>
      </c>
      <c r="B231" s="4" t="s">
        <v>1308</v>
      </c>
      <c r="C231" t="str">
        <f t="shared" si="3"/>
        <v>ANTONIA APALE COTLAME RUFINA</v>
      </c>
    </row>
    <row r="232" spans="1:3" x14ac:dyDescent="0.35">
      <c r="A232" s="4" t="s">
        <v>1309</v>
      </c>
      <c r="B232" s="4" t="s">
        <v>1308</v>
      </c>
      <c r="C232" t="str">
        <f t="shared" si="3"/>
        <v>LIZBETH RODRIGUEZ RODRIGUEZ</v>
      </c>
    </row>
    <row r="233" spans="1:3" x14ac:dyDescent="0.35">
      <c r="A233" s="4" t="s">
        <v>1310</v>
      </c>
      <c r="B233" s="4" t="s">
        <v>1311</v>
      </c>
      <c r="C233" t="str">
        <f t="shared" si="3"/>
        <v>ESTEFANIA MERINO SANDRE</v>
      </c>
    </row>
    <row r="234" spans="1:3" x14ac:dyDescent="0.35">
      <c r="A234" s="4" t="s">
        <v>1312</v>
      </c>
      <c r="B234" s="4" t="s">
        <v>1311</v>
      </c>
      <c r="C234" t="str">
        <f t="shared" si="3"/>
        <v>CASTILLO RAMIREZ RURIK</v>
      </c>
    </row>
    <row r="235" spans="1:3" x14ac:dyDescent="0.35">
      <c r="A235" s="4" t="s">
        <v>1313</v>
      </c>
      <c r="B235" s="4" t="s">
        <v>1311</v>
      </c>
      <c r="C235" t="str">
        <f t="shared" si="3"/>
        <v>ERICK GONZALEZ VAZQUEZ</v>
      </c>
    </row>
    <row r="236" spans="1:3" x14ac:dyDescent="0.35">
      <c r="A236" s="4" t="s">
        <v>1314</v>
      </c>
      <c r="B236" s="4" t="s">
        <v>1311</v>
      </c>
      <c r="C236" t="str">
        <f t="shared" si="3"/>
        <v>CALIXTRO CARLOS HERNANDEZ</v>
      </c>
    </row>
    <row r="237" spans="1:3" x14ac:dyDescent="0.35">
      <c r="A237" s="4" t="s">
        <v>1315</v>
      </c>
      <c r="B237" s="4" t="s">
        <v>1311</v>
      </c>
      <c r="C237" t="str">
        <f t="shared" si="3"/>
        <v>GUADALUPE HERNANDEZ JESSICA LOPEZ</v>
      </c>
    </row>
    <row r="238" spans="1:3" x14ac:dyDescent="0.35">
      <c r="A238" s="4" t="s">
        <v>1316</v>
      </c>
      <c r="B238" s="4" t="s">
        <v>1317</v>
      </c>
      <c r="C238" t="str">
        <f t="shared" si="3"/>
        <v>LANDEROS OLVERA SANDRA</v>
      </c>
    </row>
    <row r="239" spans="1:3" x14ac:dyDescent="0.35">
      <c r="A239" s="4" t="s">
        <v>1318</v>
      </c>
      <c r="B239" s="4" t="s">
        <v>1317</v>
      </c>
      <c r="C239" t="str">
        <f t="shared" si="3"/>
        <v>AMADOR GABRIEL RAMIREZ</v>
      </c>
    </row>
    <row r="240" spans="1:3" x14ac:dyDescent="0.35">
      <c r="A240" s="4" t="s">
        <v>1319</v>
      </c>
      <c r="B240" s="4" t="s">
        <v>1317</v>
      </c>
      <c r="C240" t="str">
        <f t="shared" si="3"/>
        <v>CECILIA GOMEZ RANGEL</v>
      </c>
    </row>
    <row r="241" spans="1:3" x14ac:dyDescent="0.35">
      <c r="A241" s="4" t="s">
        <v>1320</v>
      </c>
      <c r="B241" s="4" t="s">
        <v>1321</v>
      </c>
      <c r="C241" t="str">
        <f t="shared" si="3"/>
        <v>DAVID GARCIA JESUS PEREZ</v>
      </c>
    </row>
    <row r="242" spans="1:3" x14ac:dyDescent="0.35">
      <c r="A242" s="4" t="s">
        <v>1322</v>
      </c>
      <c r="B242" s="4" t="s">
        <v>1323</v>
      </c>
      <c r="C242" t="str">
        <f t="shared" si="3"/>
        <v>RAMIREZ ROMANO TERESA</v>
      </c>
    </row>
    <row r="243" spans="1:3" x14ac:dyDescent="0.35">
      <c r="A243" s="4" t="s">
        <v>1324</v>
      </c>
      <c r="B243" s="4" t="s">
        <v>1325</v>
      </c>
      <c r="C243" t="str">
        <f t="shared" si="3"/>
        <v>TREJO VERONICA VEYNA</v>
      </c>
    </row>
    <row r="244" spans="1:3" x14ac:dyDescent="0.35">
      <c r="A244" s="4" t="s">
        <v>1326</v>
      </c>
      <c r="B244" s="4" t="s">
        <v>1327</v>
      </c>
      <c r="C244" t="str">
        <f t="shared" si="3"/>
        <v>MUÑOZ RICARDO TAPIA</v>
      </c>
    </row>
    <row r="245" spans="1:3" x14ac:dyDescent="0.35">
      <c r="A245" s="4" t="s">
        <v>1328</v>
      </c>
      <c r="B245" s="4" t="s">
        <v>1329</v>
      </c>
      <c r="C245" t="str">
        <f t="shared" si="3"/>
        <v>ARIANA GUTIERREZ MORALES</v>
      </c>
    </row>
    <row r="246" spans="1:3" x14ac:dyDescent="0.35">
      <c r="A246" s="4" t="s">
        <v>1330</v>
      </c>
      <c r="B246" s="4" t="s">
        <v>1331</v>
      </c>
      <c r="C246" t="str">
        <f t="shared" si="3"/>
        <v>ALFREDO EDUARDO MEJIA RODRIGUEZ</v>
      </c>
    </row>
    <row r="247" spans="1:3" x14ac:dyDescent="0.35">
      <c r="A247" s="4" t="s">
        <v>1332</v>
      </c>
      <c r="B247" s="4" t="s">
        <v>1333</v>
      </c>
      <c r="C247" t="str">
        <f t="shared" si="3"/>
        <v>FERNANDA LIMA MARIA NIEVES</v>
      </c>
    </row>
    <row r="248" spans="1:3" x14ac:dyDescent="0.35">
      <c r="A248" s="4" t="s">
        <v>1334</v>
      </c>
      <c r="B248" s="4" t="s">
        <v>1333</v>
      </c>
      <c r="C248" t="str">
        <f t="shared" si="3"/>
        <v>GONZALEZ IXCHEL MAGALI PEREZ</v>
      </c>
    </row>
    <row r="249" spans="1:3" x14ac:dyDescent="0.35">
      <c r="A249" s="4" t="s">
        <v>1335</v>
      </c>
      <c r="B249" s="4" t="s">
        <v>1333</v>
      </c>
      <c r="C249" t="str">
        <f t="shared" si="3"/>
        <v>ANAYELI SASTRE TONIX</v>
      </c>
    </row>
    <row r="250" spans="1:3" x14ac:dyDescent="0.35">
      <c r="A250" s="4" t="s">
        <v>1336</v>
      </c>
      <c r="B250" s="4" t="s">
        <v>1337</v>
      </c>
      <c r="C250" t="str">
        <f t="shared" si="3"/>
        <v>BRENDA JOVANA NERI NUÑEZ</v>
      </c>
    </row>
    <row r="251" spans="1:3" x14ac:dyDescent="0.35">
      <c r="A251" s="4" t="s">
        <v>1338</v>
      </c>
      <c r="B251" s="4" t="s">
        <v>1337</v>
      </c>
      <c r="C251" t="str">
        <f t="shared" si="3"/>
        <v>ALMA AYALA RANGEL</v>
      </c>
    </row>
    <row r="252" spans="1:3" x14ac:dyDescent="0.35">
      <c r="A252" s="4" t="s">
        <v>1339</v>
      </c>
      <c r="B252" s="4" t="s">
        <v>1340</v>
      </c>
      <c r="C252" t="str">
        <f t="shared" si="3"/>
        <v>ALEJANDRA HUCHIN MAIRA PAT</v>
      </c>
    </row>
    <row r="253" spans="1:3" x14ac:dyDescent="0.35">
      <c r="A253" s="4" t="s">
        <v>1341</v>
      </c>
      <c r="B253" s="4" t="s">
        <v>1340</v>
      </c>
      <c r="C253" t="str">
        <f t="shared" si="3"/>
        <v>MORALES PILAR QUEZADA</v>
      </c>
    </row>
    <row r="254" spans="1:3" x14ac:dyDescent="0.35">
      <c r="A254" s="4" t="s">
        <v>1342</v>
      </c>
      <c r="B254" s="4" t="s">
        <v>1340</v>
      </c>
      <c r="C254" t="str">
        <f t="shared" si="3"/>
        <v>ADRIANA GARCIA PARRA</v>
      </c>
    </row>
    <row r="255" spans="1:3" x14ac:dyDescent="0.35">
      <c r="A255" s="4" t="s">
        <v>1343</v>
      </c>
      <c r="B255" s="4" t="s">
        <v>1340</v>
      </c>
      <c r="C255" t="str">
        <f t="shared" si="3"/>
        <v>ALEJANDRO MEDINA ORTEGA</v>
      </c>
    </row>
    <row r="256" spans="1:3" x14ac:dyDescent="0.35">
      <c r="A256" s="4" t="s">
        <v>1344</v>
      </c>
      <c r="B256" s="4" t="s">
        <v>1340</v>
      </c>
      <c r="C256" t="str">
        <f t="shared" si="3"/>
        <v>BLAS FITZ GUSTAVO</v>
      </c>
    </row>
    <row r="257" spans="1:3" x14ac:dyDescent="0.35">
      <c r="A257" s="4" t="s">
        <v>1345</v>
      </c>
      <c r="B257" s="4" t="s">
        <v>1346</v>
      </c>
      <c r="C257" t="str">
        <f t="shared" si="3"/>
        <v>ALMA DELIA PADILLA ROLDAN</v>
      </c>
    </row>
    <row r="258" spans="1:3" x14ac:dyDescent="0.35">
      <c r="A258" s="4" t="s">
        <v>1347</v>
      </c>
      <c r="B258" s="4" t="s">
        <v>1348</v>
      </c>
      <c r="C258" t="str">
        <f t="shared" si="3"/>
        <v>CLAUDIA FELIX GUADALUPE RODRIGUEZ</v>
      </c>
    </row>
    <row r="259" spans="1:3" x14ac:dyDescent="0.35">
      <c r="A259" s="4" t="s">
        <v>1349</v>
      </c>
      <c r="B259" s="4" t="s">
        <v>1348</v>
      </c>
      <c r="C259" t="str">
        <f t="shared" ref="C259:C322" si="4">IF(A259="","",_xlfn.TEXTJOIN(" ",TRUE,_xlfn._xlws.SORT(_xlfn.TEXTSPLIT(TRIM(UPPER(A259))," ",,TRUE),1,1,TRUE)))</f>
        <v>BARCENAS EDUARDO GONZALEZ</v>
      </c>
    </row>
    <row r="260" spans="1:3" x14ac:dyDescent="0.35">
      <c r="A260" s="4" t="s">
        <v>1350</v>
      </c>
      <c r="B260" s="4" t="s">
        <v>1348</v>
      </c>
      <c r="C260" t="str">
        <f t="shared" si="4"/>
        <v>ARMANDO AVILES DIEGO ESTRELLA</v>
      </c>
    </row>
    <row r="261" spans="1:3" x14ac:dyDescent="0.35">
      <c r="A261" s="4" t="s">
        <v>1351</v>
      </c>
      <c r="B261" s="4" t="s">
        <v>1348</v>
      </c>
      <c r="C261" t="str">
        <f t="shared" si="4"/>
        <v>AYALA JORGE RIVERA</v>
      </c>
    </row>
    <row r="262" spans="1:3" x14ac:dyDescent="0.35">
      <c r="A262" s="4" t="s">
        <v>1352</v>
      </c>
      <c r="B262" s="4" t="s">
        <v>1353</v>
      </c>
      <c r="C262" t="str">
        <f t="shared" si="4"/>
        <v>ERIKA GARCIA ROMAN</v>
      </c>
    </row>
    <row r="263" spans="1:3" x14ac:dyDescent="0.35">
      <c r="A263" s="4" t="s">
        <v>1354</v>
      </c>
      <c r="B263" s="4" t="s">
        <v>1355</v>
      </c>
      <c r="C263" t="str">
        <f t="shared" si="4"/>
        <v>ANDRES MARTINEZ RAMIREZ RAMON</v>
      </c>
    </row>
    <row r="264" spans="1:3" x14ac:dyDescent="0.35">
      <c r="A264" s="4" t="s">
        <v>1356</v>
      </c>
      <c r="B264" s="4" t="s">
        <v>1357</v>
      </c>
      <c r="C264" t="str">
        <f t="shared" si="4"/>
        <v>ARMANDO NAVARRETE RODRIGUEZ</v>
      </c>
    </row>
    <row r="265" spans="1:3" x14ac:dyDescent="0.35">
      <c r="A265" s="4" t="s">
        <v>1358</v>
      </c>
      <c r="B265" s="4" t="s">
        <v>1359</v>
      </c>
      <c r="C265" t="str">
        <f t="shared" si="4"/>
        <v>EMMANUEL GERARDO PONCE SUAREZ</v>
      </c>
    </row>
    <row r="266" spans="1:3" x14ac:dyDescent="0.35">
      <c r="A266" s="4" t="s">
        <v>1360</v>
      </c>
      <c r="B266" s="4" t="s">
        <v>1361</v>
      </c>
      <c r="C266" t="str">
        <f t="shared" si="4"/>
        <v>ARTURO DAVID DIAZ RAMIREZ</v>
      </c>
    </row>
    <row r="267" spans="1:3" x14ac:dyDescent="0.35">
      <c r="A267" s="4" t="s">
        <v>1362</v>
      </c>
      <c r="B267" s="4" t="s">
        <v>1363</v>
      </c>
      <c r="C267" t="str">
        <f t="shared" si="4"/>
        <v>CORTEZ GONZALEZ GUADALUPE MA</v>
      </c>
    </row>
    <row r="268" spans="1:3" x14ac:dyDescent="0.35">
      <c r="A268" s="4" t="s">
        <v>1364</v>
      </c>
      <c r="B268" s="4" t="s">
        <v>1363</v>
      </c>
      <c r="C268" t="str">
        <f t="shared" si="4"/>
        <v>GONZALEZ HERNANDEZ SANDRA</v>
      </c>
    </row>
    <row r="269" spans="1:3" x14ac:dyDescent="0.35">
      <c r="A269" s="4" t="s">
        <v>1365</v>
      </c>
      <c r="B269" s="4" t="s">
        <v>1363</v>
      </c>
      <c r="C269" t="str">
        <f t="shared" si="4"/>
        <v>FLORICEL GARCIA LUNA</v>
      </c>
    </row>
    <row r="270" spans="1:3" x14ac:dyDescent="0.35">
      <c r="A270" s="4" t="s">
        <v>1366</v>
      </c>
      <c r="B270" s="4" t="s">
        <v>1363</v>
      </c>
      <c r="C270" t="str">
        <f t="shared" si="4"/>
        <v>GARCIA HERNANDEZ MARIA WENDI</v>
      </c>
    </row>
    <row r="271" spans="1:3" x14ac:dyDescent="0.35">
      <c r="A271" s="4" t="s">
        <v>1367</v>
      </c>
      <c r="B271" s="4" t="s">
        <v>1368</v>
      </c>
      <c r="C271" t="str">
        <f t="shared" si="4"/>
        <v>MANUEL RIVERA SOSA</v>
      </c>
    </row>
    <row r="272" spans="1:3" x14ac:dyDescent="0.35">
      <c r="A272" s="4" t="s">
        <v>1369</v>
      </c>
      <c r="B272" s="4" t="s">
        <v>1368</v>
      </c>
      <c r="C272" t="str">
        <f t="shared" si="4"/>
        <v>GARRIDO JESSENIA NORMA RODRIGUEZ</v>
      </c>
    </row>
    <row r="273" spans="1:3" x14ac:dyDescent="0.35">
      <c r="A273" s="4" t="s">
        <v>1370</v>
      </c>
      <c r="B273" s="4" t="s">
        <v>1371</v>
      </c>
      <c r="C273" t="str">
        <f t="shared" si="4"/>
        <v>CRUZ GALAVIZ JESUS MANUEL</v>
      </c>
    </row>
    <row r="274" spans="1:3" x14ac:dyDescent="0.35">
      <c r="A274" s="4" t="s">
        <v>1372</v>
      </c>
      <c r="B274" s="4" t="s">
        <v>1371</v>
      </c>
      <c r="C274" t="str">
        <f t="shared" si="4"/>
        <v>ARMANDO DIEGO OJEDA SANCHEZ</v>
      </c>
    </row>
    <row r="275" spans="1:3" x14ac:dyDescent="0.35">
      <c r="A275" s="4" t="s">
        <v>1373</v>
      </c>
      <c r="B275" s="4" t="s">
        <v>1374</v>
      </c>
      <c r="C275" t="str">
        <f t="shared" si="4"/>
        <v>CUAMATZI LETICIA ODEMARIS RODRIGUEZ</v>
      </c>
    </row>
    <row r="276" spans="1:3" x14ac:dyDescent="0.35">
      <c r="A276" s="4" t="s">
        <v>1375</v>
      </c>
      <c r="B276" s="4" t="s">
        <v>1376</v>
      </c>
      <c r="C276" t="str">
        <f t="shared" si="4"/>
        <v>ESMERALDA FERNANDEZ RUTH VERGARA</v>
      </c>
    </row>
    <row r="277" spans="1:3" x14ac:dyDescent="0.35">
      <c r="A277" s="4" t="s">
        <v>1377</v>
      </c>
      <c r="B277" s="4" t="s">
        <v>1378</v>
      </c>
      <c r="C277" t="str">
        <f t="shared" si="4"/>
        <v>BARRON CAROLINA DANIELA GARZA</v>
      </c>
    </row>
    <row r="278" spans="1:3" x14ac:dyDescent="0.35">
      <c r="A278" s="4" t="s">
        <v>1379</v>
      </c>
      <c r="B278" s="4" t="s">
        <v>1380</v>
      </c>
      <c r="C278" t="str">
        <f t="shared" si="4"/>
        <v>ILLESCAS MARICRUZ SANCHEZ</v>
      </c>
    </row>
    <row r="279" spans="1:3" x14ac:dyDescent="0.35">
      <c r="A279" s="4" t="s">
        <v>1381</v>
      </c>
      <c r="B279" s="4" t="s">
        <v>1382</v>
      </c>
      <c r="C279" t="str">
        <f t="shared" si="4"/>
        <v>DANIEL EDUARDO NAVARRO PONCE</v>
      </c>
    </row>
    <row r="280" spans="1:3" x14ac:dyDescent="0.35">
      <c r="A280" s="4" t="s">
        <v>1383</v>
      </c>
      <c r="B280" s="4" t="s">
        <v>1384</v>
      </c>
      <c r="C280" t="str">
        <f t="shared" si="4"/>
        <v>ALMA DELIA HERRERA VAZQUEZ</v>
      </c>
    </row>
    <row r="281" spans="1:3" x14ac:dyDescent="0.35">
      <c r="A281" s="4" t="s">
        <v>1385</v>
      </c>
      <c r="B281" s="4" t="s">
        <v>1386</v>
      </c>
      <c r="C281" t="str">
        <f t="shared" si="4"/>
        <v>CALVA OLAYA PRIMAVERA RODRIGUEZ</v>
      </c>
    </row>
    <row r="282" spans="1:3" x14ac:dyDescent="0.35">
      <c r="A282" s="4" t="s">
        <v>1387</v>
      </c>
      <c r="B282" s="4" t="s">
        <v>1388</v>
      </c>
      <c r="C282" t="str">
        <f t="shared" si="4"/>
        <v>CURIEL JOAQUIN SANCHEZ</v>
      </c>
    </row>
    <row r="283" spans="1:3" x14ac:dyDescent="0.35">
      <c r="A283" s="4" t="s">
        <v>1389</v>
      </c>
      <c r="B283" s="4" t="s">
        <v>1390</v>
      </c>
      <c r="C283" t="str">
        <f t="shared" si="4"/>
        <v>CARLOS CARRASCO LUIS MEJIA</v>
      </c>
    </row>
    <row r="284" spans="1:3" x14ac:dyDescent="0.35">
      <c r="A284" s="4" t="s">
        <v>1391</v>
      </c>
      <c r="B284" s="4" t="s">
        <v>1392</v>
      </c>
      <c r="C284" t="str">
        <f t="shared" si="4"/>
        <v>ANGEL MIGUEL SANTILLO ZAMORA</v>
      </c>
    </row>
    <row r="285" spans="1:3" x14ac:dyDescent="0.35">
      <c r="A285" s="4" t="s">
        <v>1393</v>
      </c>
      <c r="B285" s="4" t="s">
        <v>1392</v>
      </c>
      <c r="C285" t="str">
        <f t="shared" si="4"/>
        <v>ARMIDA CERVANTES TORRES</v>
      </c>
    </row>
    <row r="286" spans="1:3" x14ac:dyDescent="0.35">
      <c r="A286" s="4" t="s">
        <v>1394</v>
      </c>
      <c r="B286" s="4" t="s">
        <v>1392</v>
      </c>
      <c r="C286" t="str">
        <f t="shared" si="4"/>
        <v>HUERTA ORTEGA VALERIA</v>
      </c>
    </row>
    <row r="287" spans="1:3" x14ac:dyDescent="0.35">
      <c r="A287" s="4" t="s">
        <v>1395</v>
      </c>
      <c r="B287" s="4" t="s">
        <v>1392</v>
      </c>
      <c r="C287" t="str">
        <f t="shared" si="4"/>
        <v>GUADALUPE MARIA RODRIGUEZ SANCHEZ</v>
      </c>
    </row>
    <row r="288" spans="1:3" x14ac:dyDescent="0.35">
      <c r="A288" s="4" t="s">
        <v>1396</v>
      </c>
      <c r="B288" s="4" t="s">
        <v>1392</v>
      </c>
      <c r="C288" t="str">
        <f t="shared" si="4"/>
        <v>ANGELES GARCIA MARTINEZ YAMILE</v>
      </c>
    </row>
    <row r="289" spans="1:3" x14ac:dyDescent="0.35">
      <c r="A289" s="4" t="s">
        <v>1397</v>
      </c>
      <c r="B289" s="4" t="s">
        <v>1392</v>
      </c>
      <c r="C289" t="str">
        <f t="shared" si="4"/>
        <v>AGUILAR HERNANDEZ ROBERTO</v>
      </c>
    </row>
    <row r="290" spans="1:3" x14ac:dyDescent="0.35">
      <c r="A290" s="4" t="s">
        <v>1398</v>
      </c>
      <c r="B290" s="4" t="s">
        <v>1392</v>
      </c>
      <c r="C290" t="str">
        <f t="shared" si="4"/>
        <v>JIMENEZ JORGE MONTIEL</v>
      </c>
    </row>
    <row r="291" spans="1:3" x14ac:dyDescent="0.35">
      <c r="A291" s="4" t="s">
        <v>1399</v>
      </c>
      <c r="B291" s="4" t="s">
        <v>1392</v>
      </c>
      <c r="C291" t="str">
        <f t="shared" si="4"/>
        <v>AGUILAR CARLOS EDUARDO HERNANDEZ</v>
      </c>
    </row>
    <row r="292" spans="1:3" x14ac:dyDescent="0.35">
      <c r="A292" s="4" t="s">
        <v>1400</v>
      </c>
      <c r="B292" s="4" t="s">
        <v>1392</v>
      </c>
      <c r="C292" t="str">
        <f t="shared" si="4"/>
        <v>ALEXANDER MARTINEZ REYES</v>
      </c>
    </row>
    <row r="293" spans="1:3" x14ac:dyDescent="0.35">
      <c r="A293" s="4" t="s">
        <v>1401</v>
      </c>
      <c r="B293" s="4" t="s">
        <v>1222</v>
      </c>
      <c r="C293" t="str">
        <f t="shared" si="4"/>
        <v>AVALOS DERECK JOSAHAN RAMIREZ</v>
      </c>
    </row>
    <row r="294" spans="1:3" x14ac:dyDescent="0.35">
      <c r="A294" s="4" t="s">
        <v>1402</v>
      </c>
      <c r="B294" s="4" t="s">
        <v>1222</v>
      </c>
      <c r="C294" t="str">
        <f t="shared" si="4"/>
        <v>ELOY ROLDAN SERRANO</v>
      </c>
    </row>
    <row r="295" spans="1:3" x14ac:dyDescent="0.35">
      <c r="A295" s="4" t="s">
        <v>1403</v>
      </c>
      <c r="B295" s="4" t="s">
        <v>1222</v>
      </c>
      <c r="C295" t="str">
        <f t="shared" si="4"/>
        <v>JUAN LECUONA MEDINA</v>
      </c>
    </row>
    <row r="296" spans="1:3" x14ac:dyDescent="0.35">
      <c r="A296" s="4" t="s">
        <v>1404</v>
      </c>
      <c r="B296" s="4" t="s">
        <v>1392</v>
      </c>
      <c r="C296" t="str">
        <f t="shared" si="4"/>
        <v>CARMONA LUNA NATZELANE</v>
      </c>
    </row>
    <row r="297" spans="1:3" x14ac:dyDescent="0.35">
      <c r="A297" s="4" t="s">
        <v>1405</v>
      </c>
      <c r="B297" s="4" t="s">
        <v>1222</v>
      </c>
      <c r="C297" t="str">
        <f t="shared" si="4"/>
        <v>ANTONIO CARCAÑO GARCIA JOSE</v>
      </c>
    </row>
    <row r="298" spans="1:3" x14ac:dyDescent="0.35">
      <c r="A298" s="4" t="s">
        <v>1406</v>
      </c>
      <c r="B298" s="4" t="s">
        <v>1407</v>
      </c>
      <c r="C298" t="str">
        <f t="shared" si="4"/>
        <v>JAVIER JOSE RAMIREZ VAZQUEZ</v>
      </c>
    </row>
    <row r="299" spans="1:3" x14ac:dyDescent="0.35">
      <c r="A299" s="4" t="s">
        <v>1408</v>
      </c>
      <c r="B299" s="4" t="s">
        <v>1409</v>
      </c>
      <c r="C299" t="str">
        <f t="shared" si="4"/>
        <v>CANDELARIA GONZALEZ LOPEZ MARIA</v>
      </c>
    </row>
    <row r="300" spans="1:3" x14ac:dyDescent="0.35">
      <c r="A300" s="4" t="s">
        <v>1410</v>
      </c>
      <c r="B300" s="4" t="s">
        <v>1409</v>
      </c>
      <c r="C300" t="str">
        <f t="shared" si="4"/>
        <v>FLORES GONZALEZ MIGUEL</v>
      </c>
    </row>
    <row r="301" spans="1:3" x14ac:dyDescent="0.35">
      <c r="A301" s="4" t="s">
        <v>1411</v>
      </c>
      <c r="B301" s="4" t="s">
        <v>1412</v>
      </c>
      <c r="C301" t="str">
        <f t="shared" si="4"/>
        <v>ALVARADO ANA KAREN RAMIREZ</v>
      </c>
    </row>
    <row r="302" spans="1:3" x14ac:dyDescent="0.35">
      <c r="A302" s="4" t="s">
        <v>1413</v>
      </c>
      <c r="B302" s="4" t="s">
        <v>1414</v>
      </c>
      <c r="C302" t="str">
        <f t="shared" si="4"/>
        <v>ANDRIANO LILIANA RIVERA</v>
      </c>
    </row>
    <row r="303" spans="1:3" x14ac:dyDescent="0.35">
      <c r="A303" s="4" t="s">
        <v>1415</v>
      </c>
      <c r="B303" s="4" t="s">
        <v>1416</v>
      </c>
      <c r="C303" t="str">
        <f t="shared" si="4"/>
        <v>GONZALEZ MONSERRAT ZAMORA</v>
      </c>
    </row>
    <row r="304" spans="1:3" x14ac:dyDescent="0.35">
      <c r="A304" s="4" t="s">
        <v>1417</v>
      </c>
      <c r="B304" s="4" t="s">
        <v>1416</v>
      </c>
      <c r="C304" t="str">
        <f t="shared" si="4"/>
        <v>ADOLFO LOBATO SANCHEZ</v>
      </c>
    </row>
    <row r="305" spans="1:3" x14ac:dyDescent="0.35">
      <c r="A305" s="4" t="s">
        <v>1418</v>
      </c>
      <c r="B305" s="4" t="s">
        <v>1419</v>
      </c>
      <c r="C305" t="str">
        <f t="shared" si="4"/>
        <v>CABRERA ISRAEL VAZQUEZ</v>
      </c>
    </row>
    <row r="306" spans="1:3" x14ac:dyDescent="0.35">
      <c r="A306" s="4" t="s">
        <v>1420</v>
      </c>
      <c r="B306" s="5" t="s">
        <v>1421</v>
      </c>
      <c r="C306" t="str">
        <f t="shared" si="4"/>
        <v>DAVID HERNANDEZ REYES</v>
      </c>
    </row>
    <row r="307" spans="1:3" x14ac:dyDescent="0.35">
      <c r="A307" s="4" t="s">
        <v>1422</v>
      </c>
      <c r="B307" s="5" t="s">
        <v>1423</v>
      </c>
      <c r="C307" t="str">
        <f t="shared" si="4"/>
        <v>ALEJANDRO MALDONADO OSCAR PEREZ</v>
      </c>
    </row>
    <row r="308" spans="1:3" x14ac:dyDescent="0.35">
      <c r="A308" s="4" t="s">
        <v>1424</v>
      </c>
      <c r="B308" s="5" t="s">
        <v>1425</v>
      </c>
      <c r="C308" t="str">
        <f t="shared" si="4"/>
        <v>ARELLANO GABRIEL URIBE</v>
      </c>
    </row>
    <row r="309" spans="1:3" x14ac:dyDescent="0.35">
      <c r="A309" s="4" t="s">
        <v>1426</v>
      </c>
      <c r="B309" s="5" t="s">
        <v>1427</v>
      </c>
      <c r="C309" t="str">
        <f t="shared" si="4"/>
        <v>GONZALEZ OLIVER VARGAS</v>
      </c>
    </row>
    <row r="310" spans="1:3" x14ac:dyDescent="0.35">
      <c r="A310" s="4" t="s">
        <v>1428</v>
      </c>
      <c r="B310" s="5" t="s">
        <v>1425</v>
      </c>
      <c r="C310" t="str">
        <f t="shared" si="4"/>
        <v>CESAR MARTINEZ PACHECO</v>
      </c>
    </row>
    <row r="311" spans="1:3" x14ac:dyDescent="0.35">
      <c r="A311" s="4" t="s">
        <v>1429</v>
      </c>
      <c r="B311" s="5" t="s">
        <v>1425</v>
      </c>
      <c r="C311" t="str">
        <f t="shared" si="4"/>
        <v>CABRERA LEOBARDO RANGEL</v>
      </c>
    </row>
    <row r="312" spans="1:3" x14ac:dyDescent="0.35">
      <c r="A312" s="4" t="s">
        <v>1430</v>
      </c>
      <c r="B312" s="5" t="s">
        <v>1431</v>
      </c>
      <c r="C312" t="str">
        <f t="shared" si="4"/>
        <v>JOSE SALINAS TORRES</v>
      </c>
    </row>
    <row r="313" spans="1:3" x14ac:dyDescent="0.35">
      <c r="A313" s="4" t="s">
        <v>1432</v>
      </c>
      <c r="B313" s="5" t="s">
        <v>1433</v>
      </c>
      <c r="C313" t="str">
        <f t="shared" si="4"/>
        <v>EUGENIO GALLEGO LUIS SOTO</v>
      </c>
    </row>
    <row r="314" spans="1:3" x14ac:dyDescent="0.35">
      <c r="A314" s="4" t="s">
        <v>1434</v>
      </c>
      <c r="B314" s="5" t="s">
        <v>1435</v>
      </c>
      <c r="C314" t="str">
        <f t="shared" si="4"/>
        <v>ALEXANDRE GONZALEZ NAVARRETE</v>
      </c>
    </row>
    <row r="315" spans="1:3" x14ac:dyDescent="0.35">
      <c r="A315" s="4" t="s">
        <v>1436</v>
      </c>
      <c r="B315" s="5" t="s">
        <v>1437</v>
      </c>
      <c r="C315" t="str">
        <f t="shared" si="4"/>
        <v>OMAR ORTIZ OSCAR ZAMARRIPA</v>
      </c>
    </row>
    <row r="316" spans="1:3" x14ac:dyDescent="0.35">
      <c r="A316" s="4" t="s">
        <v>1438</v>
      </c>
      <c r="B316" s="5" t="s">
        <v>1437</v>
      </c>
      <c r="C316" t="str">
        <f t="shared" si="4"/>
        <v>DANIEL EDUARDO GALLEGOS ORTIZ</v>
      </c>
    </row>
    <row r="317" spans="1:3" x14ac:dyDescent="0.35">
      <c r="A317" s="4" t="s">
        <v>1439</v>
      </c>
      <c r="B317" s="5" t="s">
        <v>1440</v>
      </c>
      <c r="C317" t="str">
        <f t="shared" si="4"/>
        <v>CHACON LOPEZ MARCELA</v>
      </c>
    </row>
    <row r="318" spans="1:3" x14ac:dyDescent="0.35">
      <c r="A318" s="4" t="s">
        <v>1441</v>
      </c>
      <c r="B318" s="5" t="s">
        <v>1442</v>
      </c>
      <c r="C318" t="str">
        <f t="shared" si="4"/>
        <v>CARRASCO RICOY SEBASTIAN</v>
      </c>
    </row>
    <row r="319" spans="1:3" x14ac:dyDescent="0.35">
      <c r="A319" s="4" t="s">
        <v>1443</v>
      </c>
      <c r="B319" s="5" t="s">
        <v>1444</v>
      </c>
      <c r="C319" t="str">
        <f t="shared" si="4"/>
        <v>ISRAEL MENDEZ PALACIOS</v>
      </c>
    </row>
    <row r="320" spans="1:3" x14ac:dyDescent="0.35">
      <c r="A320" t="s">
        <v>1447</v>
      </c>
      <c r="B320" t="s">
        <v>1031</v>
      </c>
      <c r="C320" t="str">
        <f t="shared" si="4"/>
        <v>ALFARO CELESTE FABIOLA NOLASCO</v>
      </c>
    </row>
    <row r="321" spans="1:3" x14ac:dyDescent="0.35">
      <c r="A321" t="s">
        <v>1448</v>
      </c>
      <c r="B321" t="s">
        <v>1031</v>
      </c>
      <c r="C321" t="str">
        <f t="shared" si="4"/>
        <v>CITLALI LIZETT MAYORGA PEREZ</v>
      </c>
    </row>
    <row r="322" spans="1:3" x14ac:dyDescent="0.35">
      <c r="A322" t="s">
        <v>1449</v>
      </c>
      <c r="B322" t="s">
        <v>1450</v>
      </c>
      <c r="C322" t="str">
        <f t="shared" si="4"/>
        <v>ABRAHAM CASTRO ISAIAS PADRON</v>
      </c>
    </row>
    <row r="323" spans="1:3" x14ac:dyDescent="0.35">
      <c r="A323" t="s">
        <v>1451</v>
      </c>
      <c r="B323" t="s">
        <v>1452</v>
      </c>
      <c r="C323" t="str">
        <f t="shared" ref="C323:C324" si="5">IF(A323="","",_xlfn.TEXTJOIN(" ",TRUE,_xlfn._xlws.SORT(_xlfn.TEXTSPLIT(TRIM(UPPER(A323))," ",,TRUE),1,1,TRUE)))</f>
        <v>ALBIN GOMEZ PINZON SAMUEL</v>
      </c>
    </row>
    <row r="324" spans="1:3" x14ac:dyDescent="0.35">
      <c r="A324" t="s">
        <v>1453</v>
      </c>
      <c r="B324" t="s">
        <v>1454</v>
      </c>
      <c r="C324" t="str">
        <f t="shared" si="5"/>
        <v>DANIEL EDUARDO MENDEZ QUEZADA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Colaboradores</vt:lpstr>
      <vt:lpstr>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Angelica Sanchez Martinez</dc:creator>
  <cp:lastModifiedBy>Dulce Angelica Sanchez Martinez</cp:lastModifiedBy>
  <dcterms:created xsi:type="dcterms:W3CDTF">2026-07-31T14:55:43Z</dcterms:created>
  <dcterms:modified xsi:type="dcterms:W3CDTF">2026-07-31T16:12:44Z</dcterms:modified>
</cp:coreProperties>
</file>